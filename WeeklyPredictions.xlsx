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Area\Workspaces\ProfessionalCourses\AI-ML_CapstoneProject\"/>
    </mc:Choice>
  </mc:AlternateContent>
  <xr:revisionPtr revIDLastSave="0" documentId="13_ncr:1_{369F7F80-D2F0-4658-A85A-78463E02E457}" xr6:coauthVersionLast="47" xr6:coauthVersionMax="47" xr10:uidLastSave="{00000000-0000-0000-0000-000000000000}"/>
  <bookViews>
    <workbookView xWindow="58440" yWindow="600" windowWidth="36765" windowHeight="19575" activeTab="7" xr2:uid="{00000000-000D-0000-FFFF-FFFF00000000}"/>
  </bookViews>
  <sheets>
    <sheet name="Function 1" sheetId="1" r:id="rId1"/>
    <sheet name="Function 2" sheetId="2" r:id="rId2"/>
    <sheet name="Function 3" sheetId="3" r:id="rId3"/>
    <sheet name="Function 4" sheetId="4" r:id="rId4"/>
    <sheet name="Function 5" sheetId="5" r:id="rId5"/>
    <sheet name="Function 6)" sheetId="6" r:id="rId6"/>
    <sheet name="Function 7" sheetId="7" r:id="rId7"/>
    <sheet name="Function 8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1" i="8" l="1"/>
  <c r="P50" i="7"/>
  <c r="O41" i="6"/>
  <c r="N40" i="5"/>
  <c r="N50" i="4"/>
  <c r="M36" i="3"/>
  <c r="L32" i="2"/>
  <c r="L31" i="1"/>
  <c r="N48" i="4"/>
  <c r="N38" i="5"/>
  <c r="O39" i="6"/>
  <c r="P48" i="7"/>
  <c r="R59" i="8"/>
  <c r="M34" i="3"/>
  <c r="L30" i="2"/>
  <c r="L29" i="1"/>
  <c r="R57" i="8"/>
  <c r="R56" i="8"/>
  <c r="P46" i="7"/>
  <c r="O37" i="6"/>
  <c r="O36" i="6"/>
  <c r="N36" i="5"/>
  <c r="N46" i="4"/>
  <c r="M32" i="3"/>
  <c r="M31" i="3"/>
  <c r="L28" i="2"/>
  <c r="L27" i="2"/>
  <c r="L27" i="1"/>
  <c r="L26" i="1"/>
  <c r="R54" i="8"/>
  <c r="R53" i="8"/>
  <c r="P44" i="7"/>
  <c r="P43" i="7"/>
  <c r="O34" i="6"/>
  <c r="O33" i="6"/>
  <c r="N34" i="5"/>
  <c r="N33" i="5"/>
  <c r="N43" i="4"/>
  <c r="M29" i="3"/>
  <c r="M28" i="3"/>
  <c r="L24" i="1"/>
  <c r="R51" i="8"/>
  <c r="R50" i="8"/>
  <c r="N41" i="4"/>
  <c r="N40" i="4"/>
  <c r="N44" i="4" s="1"/>
  <c r="P41" i="7"/>
  <c r="P40" i="7"/>
  <c r="O31" i="6"/>
  <c r="O30" i="6"/>
  <c r="N31" i="5"/>
  <c r="N30" i="5"/>
  <c r="M26" i="3"/>
  <c r="M25" i="3"/>
  <c r="L21" i="2"/>
  <c r="L20" i="2"/>
  <c r="L24" i="2" s="1"/>
  <c r="L21" i="1"/>
  <c r="L20" i="1"/>
  <c r="L23" i="1" s="1"/>
  <c r="L23" i="2" l="1"/>
  <c r="L25" i="2"/>
</calcChain>
</file>

<file path=xl/sharedStrings.xml><?xml version="1.0" encoding="utf-8"?>
<sst xmlns="http://schemas.openxmlformats.org/spreadsheetml/2006/main" count="395" uniqueCount="91">
  <si>
    <t>Input (feature) dimension:</t>
  </si>
  <si>
    <t>Output (result) dimension:</t>
  </si>
  <si>
    <t>Initial</t>
  </si>
  <si>
    <t>Input data-points</t>
  </si>
  <si>
    <t>Week</t>
  </si>
  <si>
    <t>Output values</t>
  </si>
  <si>
    <t>Cumulative maximum output</t>
  </si>
  <si>
    <t>RBF(length_scale=1.0, length_scale_bounds='fixed')</t>
  </si>
  <si>
    <t>Kernel</t>
  </si>
  <si>
    <t>Confidence interval</t>
  </si>
  <si>
    <t>y</t>
  </si>
  <si>
    <t>Acquisition Function</t>
  </si>
  <si>
    <t>UCB</t>
  </si>
  <si>
    <r>
      <t>x</t>
    </r>
    <r>
      <rPr>
        <b/>
        <i/>
        <vertAlign val="subscript"/>
        <sz val="14"/>
        <color theme="1"/>
        <rFont val="Aptos Narrow"/>
        <family val="2"/>
      </rPr>
      <t>1</t>
    </r>
  </si>
  <si>
    <r>
      <t>x</t>
    </r>
    <r>
      <rPr>
        <b/>
        <i/>
        <vertAlign val="subscript"/>
        <sz val="14"/>
        <color theme="1"/>
        <rFont val="Aptos Narrow"/>
        <family val="2"/>
      </rPr>
      <t>2</t>
    </r>
  </si>
  <si>
    <t>Matern(length_scale=1.0, length_scale_bounds='fixed')</t>
  </si>
  <si>
    <t>Query next data-point</t>
  </si>
  <si>
    <t>[0.998999, 1.000000]</t>
  </si>
  <si>
    <t>RationalQuadratic(length_scale=1.0, length_scale_bounds='fixed')</t>
  </si>
  <si>
    <r>
      <t>x</t>
    </r>
    <r>
      <rPr>
        <b/>
        <i/>
        <vertAlign val="subscript"/>
        <sz val="14"/>
        <color theme="1"/>
        <rFont val="Aptos Narrow"/>
        <family val="2"/>
      </rPr>
      <t>3</t>
    </r>
  </si>
  <si>
    <t>[0.99866578, 0.99933289, 1.000000]</t>
  </si>
  <si>
    <t>[0.99866578, 0.99933289 1.000000]</t>
  </si>
  <si>
    <r>
      <t>x</t>
    </r>
    <r>
      <rPr>
        <b/>
        <i/>
        <vertAlign val="subscript"/>
        <sz val="14"/>
        <color theme="1"/>
        <rFont val="Aptos Narrow"/>
        <family val="2"/>
      </rPr>
      <t>4</t>
    </r>
  </si>
  <si>
    <t>[0.3941971, 0.39469735, 0.3951976, 0.39569785]</t>
  </si>
  <si>
    <t>[0.99849925, 0.9989995, 0.99949975, 1.000000]</t>
  </si>
  <si>
    <t>[0.98249125, 0.9829915, 0.98349175, 0.983992]</t>
  </si>
  <si>
    <r>
      <t>x</t>
    </r>
    <r>
      <rPr>
        <b/>
        <i/>
        <vertAlign val="subscript"/>
        <sz val="14"/>
        <color theme="1"/>
        <rFont val="Aptos Narrow"/>
        <family val="2"/>
      </rPr>
      <t>5</t>
    </r>
  </si>
  <si>
    <t>[0.000000, 0.00040016, 0.00080032, 0.00120048, 0.00160064]</t>
  </si>
  <si>
    <r>
      <t>x</t>
    </r>
    <r>
      <rPr>
        <b/>
        <i/>
        <vertAlign val="subscript"/>
        <sz val="14"/>
        <color theme="1"/>
        <rFont val="Aptos Narrow"/>
        <family val="2"/>
      </rPr>
      <t>6</t>
    </r>
  </si>
  <si>
    <t>[0.000000, 0.00033344, 0.00066689, 0.00100033, 0.00133378, 0.00166722]</t>
  </si>
  <si>
    <t>[0.99833278, 0.99866622, 0.99899967, 0.99933311, 0.99966656, 1.000000]</t>
  </si>
  <si>
    <r>
      <t>x</t>
    </r>
    <r>
      <rPr>
        <b/>
        <i/>
        <vertAlign val="subscript"/>
        <sz val="14"/>
        <color theme="1"/>
        <rFont val="Aptos Narrow"/>
        <family val="2"/>
      </rPr>
      <t>7</t>
    </r>
  </si>
  <si>
    <r>
      <t>x</t>
    </r>
    <r>
      <rPr>
        <b/>
        <i/>
        <vertAlign val="subscript"/>
        <sz val="14"/>
        <color theme="1"/>
        <rFont val="Aptos Narrow"/>
        <family val="2"/>
      </rPr>
      <t>8</t>
    </r>
  </si>
  <si>
    <t>[0.21805451, 0.21830458, 0.21855464, 0.2188047, 0.21905476, 0.21930483, 0.21955489, 0.21980495]</t>
  </si>
  <si>
    <t>[0.28607152, 0.28632158, 0.28657164, 0.28682171, 0.28707177, 0.28732183, 0.28757189, 0.28782196]</t>
  </si>
  <si>
    <t>[0.000000, 0.001001]</t>
  </si>
  <si>
    <t>[0.42621311, 0.42671336, 0.42721361, 0.42771386]</t>
  </si>
  <si>
    <t>Selected data-point</t>
  </si>
  <si>
    <r>
      <t>RationalQuadratic(length_scale=1.0, length_scale_bounds='fixed'), GPR.alpha=1e</t>
    </r>
    <r>
      <rPr>
        <vertAlign val="superscript"/>
        <sz val="11"/>
        <color theme="1"/>
        <rFont val="Calibri"/>
        <family val="2"/>
        <scheme val="minor"/>
      </rPr>
      <t>-05</t>
    </r>
  </si>
  <si>
    <r>
      <t>RBF(length_scale=1.0, length_scale_bounds='fixed'), GPR.alpha=1e</t>
    </r>
    <r>
      <rPr>
        <vertAlign val="superscript"/>
        <sz val="11"/>
        <color theme="1"/>
        <rFont val="Calibri"/>
        <family val="2"/>
        <scheme val="minor"/>
      </rPr>
      <t>-05</t>
    </r>
  </si>
  <si>
    <r>
      <t>Matern(length_scale=1.0, length_scale_bounds='fixed'), GPR.alpha=1e</t>
    </r>
    <r>
      <rPr>
        <vertAlign val="superscript"/>
        <sz val="11"/>
        <color theme="1"/>
        <rFont val="Calibri"/>
        <family val="2"/>
        <scheme val="minor"/>
      </rPr>
      <t>-05</t>
    </r>
  </si>
  <si>
    <t>[0.526526, 0.527527]</t>
  </si>
  <si>
    <t>[0.644644, 0.645645]</t>
  </si>
  <si>
    <t>[0.474474, 0.475475]</t>
  </si>
  <si>
    <t>[0.418279, 0.418946, 0.419613]</t>
  </si>
  <si>
    <t>[0.000000, 0.000667, 0.001334]</t>
  </si>
  <si>
    <t>Matern(length_scale=1.0, length_scale_bounds='fixed', nu=1.5)</t>
  </si>
  <si>
    <t>[0.372186, 0.372686, 0.373187, 0.373687]</t>
  </si>
  <si>
    <t>[0.394197, 0.394697, 0.395198, 0.395698]</t>
  </si>
  <si>
    <t>[0.368147, 0.368547, 0.368948, 0.369348, 0.369748]</t>
  </si>
  <si>
    <t>[0.998399, 0.998800, 0.999200, 0.999600, 1.000000]</t>
  </si>
  <si>
    <t>[0.998333, 0.998666, 0.999000, 0.999333, 0.999667, 1.000000]</t>
  </si>
  <si>
    <t>[0.288072, 0.288322, 0.288572, 0.288822, 0.289072, 0.289322, 0.289572, 0.289822]</t>
  </si>
  <si>
    <t>[0.314079, 0.314329, 0.314579, 0.314829, 0.315079, 0.315329, 0.315579, 0.315829]</t>
  </si>
  <si>
    <t>[0.998499, 0.999000, 0.999500, 1.000000]</t>
  </si>
  <si>
    <t>[0.184184, 0.185185]</t>
  </si>
  <si>
    <t>[0.288288, 0.289289]</t>
  </si>
  <si>
    <t>[0.524524, 0.525525]</t>
  </si>
  <si>
    <t>Heuristic based on function graph</t>
  </si>
  <si>
    <t>[1.000000, 1.000000, 1.000000, 1.000000]</t>
  </si>
  <si>
    <t>[0.418167, 0.418567, 0.418968, 0.419368, 0.419768]</t>
  </si>
  <si>
    <t>Matern(length_scale=1.0, length_scale_bounds=(1e-3, 1e3), nu=np.inf)</t>
  </si>
  <si>
    <t>[0.414166, 0.414566, 0.414966, 0.415366, 0.415766]</t>
  </si>
  <si>
    <t>Heuristic based on function graph and permutation importance</t>
  </si>
  <si>
    <t>[0.060000, 0.400000, 0.200000, 0.250000, 0.400000, 0.700000]</t>
  </si>
  <si>
    <t>[0.226057, 0.226307, 0.226557, 0.226807, 0.227057, 0.227307, 0.227557, 0.227807]</t>
  </si>
  <si>
    <t>[0.204051, 0.204301, 0.204551, 0.204801, 0.205051, 0.205301, 0.205551, 0.205801]</t>
  </si>
  <si>
    <t>[0.898898, 0.899899]</t>
  </si>
  <si>
    <t>RBF(length_scale=10.0, length_scale_bounds=(1e-3, 1e3))</t>
  </si>
  <si>
    <t>[0.856856, 0.857857]</t>
  </si>
  <si>
    <t>[0.000000, 0.000000]</t>
  </si>
  <si>
    <r>
      <t>RBF(length_scale=10.0, length_scale_bounds=(1e-3, 1e3)), GPR.alpha=1e</t>
    </r>
    <r>
      <rPr>
        <vertAlign val="superscript"/>
        <sz val="11"/>
        <color theme="1"/>
        <rFont val="Calibri"/>
        <family val="2"/>
        <scheme val="minor"/>
      </rPr>
      <t>-05</t>
    </r>
  </si>
  <si>
    <t>[0.748499, 0.749166, 0.749833]</t>
  </si>
  <si>
    <t>RBF(length_scale=1.0, length_scale_bounds=(1e-3, 1e3))</t>
  </si>
  <si>
    <t>[0.348174, 0.348674, 0.349174, 0.349674]</t>
  </si>
  <si>
    <t>[0.920000, 0.920000, 0.920000, 0.920000]</t>
  </si>
  <si>
    <t>Matern(length_scale=0.1, length_scale_bounds=(1e-3, 1e3), nu=np.inf)</t>
  </si>
  <si>
    <t>[0.998399, 0.998799, 0.999199, 0.999599, 1.000000]</t>
  </si>
  <si>
    <t>[0.254084, 0.254418, 0.254751, 0.255085, 0.255418, 0.255751]</t>
  </si>
  <si>
    <t>RationalQuadratic(length_scale=0.1, length_scale_bounds=(1e-3, 1e3))</t>
  </si>
  <si>
    <t>[0.212053, 0.212303, 0.212553, 0.212803, 0.213053, 0.213303, 0.213553, 0.213803]</t>
  </si>
  <si>
    <t>Matern(length_scale=0.01, length_scale_bounds=(1e-2, 1e2), nu=1.5)</t>
  </si>
  <si>
    <t>[0.384384, 0.385385]</t>
  </si>
  <si>
    <t>[0.750000, 0.900000]</t>
  </si>
  <si>
    <t>Matern(length_scale=0.01, length_scale_bounds=(1e-3, 1e3), nu=1.5)</t>
  </si>
  <si>
    <t>[0.542000, 0.550000, 0.566000]</t>
  </si>
  <si>
    <t>[0.358179, 0.358679, 0.359179, 0.359679]</t>
  </si>
  <si>
    <t>[0.998499, 0.998999, 0.999499, 1.000000]</t>
  </si>
  <si>
    <t>[0.452180, 0.452581, 0.452981, 0.700000, 0.060000]</t>
  </si>
  <si>
    <t>[0.334111, 0.334444, 0.334778, 0.335111, 0.335445, 0.680000]</t>
  </si>
  <si>
    <t>[0.070000, 0.046261, 0.100000, 0.100000, 0.047011, 0.047261, 0.047511, 0.047761]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</si>
</sst>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E+00"/>
    <numFmt numFmtId="165" formatCode="0.000000"/>
  </numFmts>
  <fonts count="12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9" tint="0.79998168889431442"/>
      <name val="Calibri"/>
      <family val="2"/>
      <scheme val="minor"/>
    </font>
    <font>
      <b/>
      <sz val="14"/>
      <color theme="7" tint="0.79998168889431442"/>
      <name val="Calibri"/>
      <family val="2"/>
      <scheme val="minor"/>
    </font>
    <font>
      <b/>
      <sz val="14"/>
      <color rgb="FFCCFFFF"/>
      <name val="Calibri"/>
      <family val="2"/>
      <scheme val="minor"/>
    </font>
    <font>
      <b/>
      <i/>
      <sz val="14"/>
      <color theme="1"/>
      <name val="Aptos Narrow"/>
      <family val="2"/>
    </font>
    <font>
      <b/>
      <i/>
      <vertAlign val="subscript"/>
      <sz val="14"/>
      <color theme="1"/>
      <name val="Aptos Narrow"/>
      <family val="2"/>
    </font>
    <font>
      <b/>
      <i/>
      <sz val="14"/>
      <color theme="7" tint="0.79998168889431442"/>
      <name val="Aptos Narrow"/>
      <family val="2"/>
    </font>
    <font>
      <b/>
      <sz val="11"/>
      <color theme="7" tint="0.7999816888943144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0"/>
      <color theme="9" tint="-0.499984740745262"/>
      <name val="Arial Unicode MS"/>
    </font>
    <font>
      <vertAlign val="superscript"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/>
    </xf>
    <xf numFmtId="49" fontId="5" fillId="8" borderId="0" xfId="0" applyNumberFormat="1" applyFont="1" applyFill="1" applyAlignment="1">
      <alignment horizontal="center"/>
    </xf>
    <xf numFmtId="49" fontId="5" fillId="7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8" fillId="13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165" fontId="10" fillId="14" borderId="0" xfId="0" applyNumberFormat="1" applyFont="1" applyFill="1" applyAlignment="1">
      <alignment vertical="center"/>
    </xf>
    <xf numFmtId="165" fontId="9" fillId="14" borderId="0" xfId="0" applyNumberFormat="1" applyFont="1" applyFill="1"/>
    <xf numFmtId="165" fontId="8" fillId="13" borderId="0" xfId="0" applyNumberFormat="1" applyFont="1" applyFill="1"/>
    <xf numFmtId="164" fontId="9" fillId="14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1" fontId="1" fillId="0" borderId="0" xfId="0" applyNumberFormat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 wrapText="1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zoomScale="80" zoomScaleNormal="80" workbookViewId="0">
      <selection activeCell="M31" sqref="M31"/>
    </sheetView>
  </sheetViews>
  <sheetFormatPr defaultRowHeight="14.4"/>
  <cols>
    <col min="1" max="1" width="13.3125" customWidth="1"/>
    <col min="2" max="2" width="12.7890625" customWidth="1"/>
    <col min="3" max="3" width="12.05078125" customWidth="1"/>
    <col min="4" max="4" width="13.1015625" customWidth="1"/>
    <col min="5" max="5" width="14.5234375" customWidth="1"/>
    <col min="7" max="7" width="26.5234375" customWidth="1"/>
    <col min="8" max="8" width="17.15625" bestFit="1" customWidth="1"/>
    <col min="9" max="9" width="18.15625" customWidth="1"/>
    <col min="10" max="11" width="18.1015625" customWidth="1"/>
    <col min="12" max="12" width="24" customWidth="1"/>
    <col min="13" max="13" width="19.26171875" customWidth="1"/>
    <col min="14" max="14" width="22.15625" customWidth="1"/>
  </cols>
  <sheetData>
    <row r="3" spans="2:14">
      <c r="B3" s="36" t="s">
        <v>0</v>
      </c>
      <c r="C3" s="37"/>
      <c r="D3" s="11">
        <v>2</v>
      </c>
    </row>
    <row r="4" spans="2:14">
      <c r="B4" s="34" t="s">
        <v>1</v>
      </c>
      <c r="C4" s="35"/>
      <c r="D4" s="12">
        <v>1</v>
      </c>
    </row>
    <row r="7" spans="2:14" ht="38.4" customHeight="1">
      <c r="B7" s="39" t="s">
        <v>3</v>
      </c>
      <c r="C7" s="39"/>
      <c r="D7" s="39"/>
      <c r="E7" s="39"/>
      <c r="G7" s="40" t="s">
        <v>5</v>
      </c>
      <c r="H7" s="40"/>
      <c r="I7" s="40"/>
      <c r="J7" s="40"/>
      <c r="K7" s="1"/>
      <c r="L7" s="14" t="s">
        <v>6</v>
      </c>
      <c r="M7" s="14" t="s">
        <v>16</v>
      </c>
      <c r="N7" s="14" t="s">
        <v>37</v>
      </c>
    </row>
    <row r="8" spans="2:14" ht="21.3">
      <c r="B8" s="10"/>
      <c r="C8" s="10"/>
      <c r="D8" s="16" t="s">
        <v>13</v>
      </c>
      <c r="E8" s="17" t="s">
        <v>14</v>
      </c>
      <c r="G8" s="8" t="s">
        <v>8</v>
      </c>
      <c r="H8" s="9" t="s">
        <v>9</v>
      </c>
      <c r="I8" s="15" t="s">
        <v>11</v>
      </c>
      <c r="J8" s="18" t="s">
        <v>10</v>
      </c>
      <c r="K8" s="1"/>
      <c r="L8" s="3"/>
    </row>
    <row r="9" spans="2:14">
      <c r="B9" s="38" t="s">
        <v>2</v>
      </c>
      <c r="C9" s="38"/>
      <c r="D9">
        <v>0.31940389000000002</v>
      </c>
      <c r="E9">
        <v>0.76295937000000003</v>
      </c>
      <c r="G9" s="38" t="s">
        <v>2</v>
      </c>
      <c r="H9" s="38"/>
      <c r="I9" s="38"/>
      <c r="J9" s="4">
        <v>1.3226770399999999E-79</v>
      </c>
      <c r="K9" s="4"/>
    </row>
    <row r="10" spans="2:14">
      <c r="B10" s="38"/>
      <c r="C10" s="38"/>
      <c r="D10">
        <v>0.57432921000000003</v>
      </c>
      <c r="E10">
        <v>0.87989810000000002</v>
      </c>
      <c r="G10" s="38"/>
      <c r="H10" s="38"/>
      <c r="I10" s="38"/>
      <c r="J10" s="4">
        <v>1.0330782399999999E-46</v>
      </c>
      <c r="K10" s="4"/>
    </row>
    <row r="11" spans="2:14">
      <c r="B11" s="38"/>
      <c r="C11" s="38"/>
      <c r="D11">
        <v>0.73102363000000004</v>
      </c>
      <c r="E11">
        <v>0.73299988000000005</v>
      </c>
      <c r="G11" s="38"/>
      <c r="H11" s="38"/>
      <c r="I11" s="38"/>
      <c r="J11" s="4">
        <v>7.7108751100000005E-16</v>
      </c>
      <c r="K11" s="4"/>
    </row>
    <row r="12" spans="2:14">
      <c r="B12" s="38"/>
      <c r="C12" s="38"/>
      <c r="D12">
        <v>0.84035342000000002</v>
      </c>
      <c r="E12">
        <v>0.26473161000000001</v>
      </c>
      <c r="G12" s="38"/>
      <c r="H12" s="38"/>
      <c r="I12" s="38"/>
      <c r="J12" s="6">
        <v>3.3417710099999998E-124</v>
      </c>
      <c r="K12" s="6"/>
    </row>
    <row r="13" spans="2:14">
      <c r="B13" s="38"/>
      <c r="C13" s="38"/>
      <c r="D13">
        <v>0.65011406000000005</v>
      </c>
      <c r="E13">
        <v>0.68152634999999995</v>
      </c>
      <c r="G13" s="38"/>
      <c r="H13" s="38"/>
      <c r="I13" s="38"/>
      <c r="J13" s="4">
        <v>-3.6060626400000002E-3</v>
      </c>
      <c r="K13" s="4"/>
    </row>
    <row r="14" spans="2:14">
      <c r="B14" s="38"/>
      <c r="C14" s="38"/>
      <c r="D14">
        <v>0.41043713999999998</v>
      </c>
      <c r="E14">
        <v>0.1475543</v>
      </c>
      <c r="G14" s="38"/>
      <c r="H14" s="38"/>
      <c r="I14" s="38"/>
      <c r="J14" s="4">
        <v>-2.15924904E-54</v>
      </c>
      <c r="K14" s="4"/>
    </row>
    <row r="15" spans="2:14">
      <c r="B15" s="38"/>
      <c r="C15" s="38"/>
      <c r="D15">
        <v>0.31269116000000002</v>
      </c>
      <c r="E15">
        <v>7.8722780000000006E-2</v>
      </c>
      <c r="G15" s="38"/>
      <c r="H15" s="38"/>
      <c r="I15" s="38"/>
      <c r="J15" s="6">
        <v>-2.0890932699999999E-91</v>
      </c>
      <c r="K15" s="6"/>
    </row>
    <row r="16" spans="2:14">
      <c r="B16" s="38"/>
      <c r="C16" s="38"/>
      <c r="D16">
        <v>0.68341817000000005</v>
      </c>
      <c r="E16">
        <v>0.86105746000000005</v>
      </c>
      <c r="G16" s="38"/>
      <c r="H16" s="38"/>
      <c r="I16" s="38"/>
      <c r="J16" s="6">
        <v>2.5350011499999998E-40</v>
      </c>
      <c r="K16" s="6"/>
    </row>
    <row r="17" spans="2:14">
      <c r="B17" s="38"/>
      <c r="C17" s="38"/>
      <c r="D17">
        <v>8.2507250000000004E-2</v>
      </c>
      <c r="E17">
        <v>0.40348750999999999</v>
      </c>
      <c r="G17" s="38"/>
      <c r="H17" s="38"/>
      <c r="I17" s="38"/>
      <c r="J17" s="6">
        <v>3.6067711900000002E-81</v>
      </c>
      <c r="K17" s="6"/>
    </row>
    <row r="18" spans="2:14">
      <c r="B18" s="38"/>
      <c r="C18" s="38"/>
      <c r="D18">
        <v>0.88388982999999999</v>
      </c>
      <c r="E18">
        <v>0.58225397000000001</v>
      </c>
      <c r="G18" s="38"/>
      <c r="H18" s="38"/>
      <c r="I18" s="38"/>
      <c r="J18" s="6">
        <v>6.2298564700000004E-48</v>
      </c>
      <c r="K18" s="6"/>
    </row>
    <row r="19" spans="2:14">
      <c r="B19" s="23" t="s">
        <v>4</v>
      </c>
      <c r="C19" s="23">
        <v>1</v>
      </c>
      <c r="D19" s="27">
        <v>0.5</v>
      </c>
      <c r="E19" s="27">
        <v>0.5</v>
      </c>
      <c r="G19" s="24" t="s">
        <v>4</v>
      </c>
      <c r="H19" s="24">
        <v>1</v>
      </c>
      <c r="I19" s="24"/>
      <c r="J19" s="28">
        <v>2.6752879910742401E-9</v>
      </c>
      <c r="K19" s="24"/>
      <c r="L19" s="24"/>
      <c r="M19" s="24"/>
      <c r="N19" s="24"/>
    </row>
    <row r="20" spans="2:14" ht="26.4" customHeight="1">
      <c r="G20" s="19" t="s">
        <v>7</v>
      </c>
      <c r="H20" s="3">
        <v>0.8</v>
      </c>
      <c r="I20" s="3" t="s">
        <v>12</v>
      </c>
      <c r="L20" s="13">
        <f>MAX(J9:J18,J19)</f>
        <v>2.6752879910742401E-9</v>
      </c>
      <c r="M20" s="3" t="s">
        <v>35</v>
      </c>
      <c r="N20" s="29" t="b">
        <v>1</v>
      </c>
    </row>
    <row r="21" spans="2:14" ht="28.8" customHeight="1">
      <c r="G21" s="19" t="s">
        <v>15</v>
      </c>
      <c r="H21" s="3">
        <v>0.8</v>
      </c>
      <c r="I21" s="3" t="s">
        <v>12</v>
      </c>
      <c r="L21" s="13">
        <f>MAX(J9:J18,J19)</f>
        <v>2.6752879910742401E-9</v>
      </c>
      <c r="M21" s="3" t="s">
        <v>17</v>
      </c>
    </row>
    <row r="22" spans="2:14">
      <c r="B22" s="23" t="s">
        <v>4</v>
      </c>
      <c r="C22" s="23">
        <v>2</v>
      </c>
      <c r="D22" s="27">
        <v>0</v>
      </c>
      <c r="E22" s="27">
        <v>1.0009999999999999E-3</v>
      </c>
      <c r="G22" s="24" t="s">
        <v>4</v>
      </c>
      <c r="H22" s="24">
        <v>2</v>
      </c>
      <c r="I22" s="24"/>
      <c r="J22" s="28">
        <v>9.6811561099999993E-248</v>
      </c>
      <c r="K22" s="24"/>
      <c r="L22" s="24"/>
      <c r="M22" s="24"/>
      <c r="N22" s="24"/>
    </row>
    <row r="23" spans="2:14" ht="28.8">
      <c r="G23" s="19" t="s">
        <v>7</v>
      </c>
      <c r="H23" s="3">
        <v>0.99</v>
      </c>
      <c r="I23" s="3" t="s">
        <v>12</v>
      </c>
      <c r="L23" s="13">
        <f>MAX(L20,J22)</f>
        <v>2.6752879910742401E-9</v>
      </c>
      <c r="M23" s="3" t="s">
        <v>17</v>
      </c>
      <c r="N23" s="29" t="b">
        <v>1</v>
      </c>
    </row>
    <row r="24" spans="2:14" ht="28.8">
      <c r="G24" s="19" t="s">
        <v>15</v>
      </c>
      <c r="H24" s="3">
        <v>0.99</v>
      </c>
      <c r="I24" s="3" t="s">
        <v>12</v>
      </c>
      <c r="L24" s="13">
        <f>MAX(L20,J22)</f>
        <v>2.6752879910742401E-9</v>
      </c>
      <c r="M24" s="3" t="s">
        <v>17</v>
      </c>
    </row>
    <row r="25" spans="2:14">
      <c r="B25" s="23" t="s">
        <v>4</v>
      </c>
      <c r="C25" s="23">
        <v>3</v>
      </c>
      <c r="D25" s="27">
        <v>0.99899899999999997</v>
      </c>
      <c r="E25" s="27">
        <v>1</v>
      </c>
      <c r="G25" s="24" t="s">
        <v>4</v>
      </c>
      <c r="H25" s="24">
        <v>3</v>
      </c>
      <c r="I25" s="24"/>
      <c r="J25" s="28">
        <v>4.7383981465482201E-192</v>
      </c>
      <c r="K25" s="24"/>
      <c r="L25" s="24"/>
      <c r="M25" s="24"/>
      <c r="N25" s="24"/>
    </row>
    <row r="26" spans="2:14" ht="28.8">
      <c r="G26" s="19" t="s">
        <v>7</v>
      </c>
      <c r="H26" s="3">
        <v>0.99</v>
      </c>
      <c r="I26" s="3" t="s">
        <v>12</v>
      </c>
      <c r="L26" s="13">
        <f>MAX(L23,J25)</f>
        <v>2.6752879910742401E-9</v>
      </c>
      <c r="M26" s="3" t="s">
        <v>55</v>
      </c>
      <c r="N26" s="30" t="b">
        <v>1</v>
      </c>
    </row>
    <row r="27" spans="2:14" ht="28.8">
      <c r="G27" s="19" t="s">
        <v>15</v>
      </c>
      <c r="H27" s="3">
        <v>0.99</v>
      </c>
      <c r="I27" s="3" t="s">
        <v>12</v>
      </c>
      <c r="L27" s="13">
        <f>MAX(L23,J25)</f>
        <v>2.6752879910742401E-9</v>
      </c>
      <c r="M27" s="3" t="s">
        <v>56</v>
      </c>
      <c r="N27" s="2"/>
    </row>
    <row r="28" spans="2:14">
      <c r="B28" s="23" t="s">
        <v>4</v>
      </c>
      <c r="C28" s="23">
        <v>4</v>
      </c>
      <c r="D28" s="27">
        <v>0.18418399999999999</v>
      </c>
      <c r="E28" s="27">
        <v>0.18518499999999999</v>
      </c>
      <c r="G28" s="24" t="s">
        <v>4</v>
      </c>
      <c r="H28" s="24">
        <v>4</v>
      </c>
      <c r="I28" s="24"/>
      <c r="J28" s="28">
        <v>1.21844591337822E-78</v>
      </c>
      <c r="K28" s="24"/>
      <c r="L28" s="24"/>
      <c r="M28" s="24"/>
      <c r="N28" s="24"/>
    </row>
    <row r="29" spans="2:14" ht="43.2">
      <c r="G29" s="19" t="s">
        <v>68</v>
      </c>
      <c r="H29" s="3">
        <v>0.99</v>
      </c>
      <c r="I29" s="3" t="s">
        <v>12</v>
      </c>
      <c r="L29" s="13">
        <f>MAX(L26,J28)</f>
        <v>2.6752879910742401E-9</v>
      </c>
      <c r="M29" s="3" t="s">
        <v>67</v>
      </c>
      <c r="N29" s="29" t="b">
        <v>1</v>
      </c>
    </row>
    <row r="30" spans="2:14">
      <c r="B30" s="23" t="s">
        <v>4</v>
      </c>
      <c r="C30" s="23">
        <v>5</v>
      </c>
      <c r="D30" s="27">
        <v>0.89889799999999997</v>
      </c>
      <c r="E30" s="27">
        <v>0.899899</v>
      </c>
      <c r="G30" s="24" t="s">
        <v>4</v>
      </c>
      <c r="H30" s="24">
        <v>5</v>
      </c>
      <c r="I30" s="24"/>
      <c r="J30" s="28">
        <v>5.5889990975819399E-104</v>
      </c>
      <c r="K30" s="24"/>
      <c r="L30" s="24"/>
      <c r="M30" s="24"/>
      <c r="N30" s="24"/>
    </row>
    <row r="31" spans="2:14" ht="43.2">
      <c r="G31" s="19" t="s">
        <v>81</v>
      </c>
      <c r="H31" s="3">
        <v>0.4</v>
      </c>
      <c r="I31" s="3" t="s">
        <v>12</v>
      </c>
      <c r="L31" s="13">
        <f>MAX(L29,J30)</f>
        <v>2.6752879910742401E-9</v>
      </c>
      <c r="M31" s="3" t="s">
        <v>82</v>
      </c>
      <c r="N31" s="29" t="b">
        <v>1</v>
      </c>
    </row>
  </sheetData>
  <mergeCells count="6">
    <mergeCell ref="B9:C18"/>
    <mergeCell ref="B3:C3"/>
    <mergeCell ref="B4:C4"/>
    <mergeCell ref="G7:J7"/>
    <mergeCell ref="G9:I18"/>
    <mergeCell ref="B7: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B941-049A-4FC0-8F09-1656ED8CE3C7}">
  <dimension ref="B3:N32"/>
  <sheetViews>
    <sheetView zoomScale="80" zoomScaleNormal="80" workbookViewId="0">
      <selection activeCell="M32" sqref="M32"/>
    </sheetView>
  </sheetViews>
  <sheetFormatPr defaultRowHeight="14.4"/>
  <cols>
    <col min="2" max="2" width="11.734375" customWidth="1"/>
    <col min="3" max="3" width="12.05078125" customWidth="1"/>
    <col min="4" max="4" width="11.62890625" customWidth="1"/>
    <col min="5" max="5" width="11.89453125" customWidth="1"/>
    <col min="7" max="7" width="28.41796875" customWidth="1"/>
    <col min="8" max="8" width="17.15625" bestFit="1" customWidth="1"/>
    <col min="9" max="9" width="17.15625" customWidth="1"/>
    <col min="10" max="10" width="15.26171875" customWidth="1"/>
    <col min="11" max="11" width="18.1015625" customWidth="1"/>
    <col min="12" max="12" width="24" customWidth="1"/>
    <col min="13" max="13" width="24.7890625" customWidth="1"/>
    <col min="14" max="14" width="22.15625" customWidth="1"/>
  </cols>
  <sheetData>
    <row r="3" spans="2:14">
      <c r="B3" s="36" t="s">
        <v>0</v>
      </c>
      <c r="C3" s="37"/>
      <c r="D3" s="11">
        <v>2</v>
      </c>
    </row>
    <row r="4" spans="2:14">
      <c r="B4" s="34" t="s">
        <v>1</v>
      </c>
      <c r="C4" s="35"/>
      <c r="D4" s="12">
        <v>1</v>
      </c>
    </row>
    <row r="7" spans="2:14" ht="38.4" customHeight="1">
      <c r="B7" s="39" t="s">
        <v>3</v>
      </c>
      <c r="C7" s="39"/>
      <c r="D7" s="39"/>
      <c r="E7" s="39"/>
      <c r="G7" s="40" t="s">
        <v>5</v>
      </c>
      <c r="H7" s="40"/>
      <c r="I7" s="40"/>
      <c r="J7" s="40"/>
      <c r="K7" s="1"/>
      <c r="L7" s="14" t="s">
        <v>6</v>
      </c>
      <c r="M7" s="14" t="s">
        <v>16</v>
      </c>
      <c r="N7" s="14" t="s">
        <v>37</v>
      </c>
    </row>
    <row r="8" spans="2:14" ht="21.3">
      <c r="B8" s="10"/>
      <c r="C8" s="10"/>
      <c r="D8" s="16" t="s">
        <v>13</v>
      </c>
      <c r="E8" s="17" t="s">
        <v>14</v>
      </c>
      <c r="G8" s="8" t="s">
        <v>8</v>
      </c>
      <c r="H8" s="9" t="s">
        <v>9</v>
      </c>
      <c r="I8" s="15" t="s">
        <v>11</v>
      </c>
      <c r="J8" s="18" t="s">
        <v>10</v>
      </c>
      <c r="K8" s="1"/>
      <c r="L8" s="3"/>
    </row>
    <row r="9" spans="2:14">
      <c r="B9" s="38" t="s">
        <v>2</v>
      </c>
      <c r="C9" s="38"/>
      <c r="D9">
        <v>0.66579957999999995</v>
      </c>
      <c r="E9" s="22">
        <v>0.12396913</v>
      </c>
      <c r="G9" s="38" t="s">
        <v>2</v>
      </c>
      <c r="H9" s="38"/>
      <c r="I9" s="38"/>
      <c r="J9" s="20">
        <v>0.53899611999999997</v>
      </c>
      <c r="K9" s="4"/>
    </row>
    <row r="10" spans="2:14">
      <c r="B10" s="38"/>
      <c r="C10" s="38"/>
      <c r="D10" s="22">
        <v>0.87779099000000005</v>
      </c>
      <c r="E10" s="22">
        <v>0.77862750000000003</v>
      </c>
      <c r="G10" s="38"/>
      <c r="H10" s="38"/>
      <c r="I10" s="38"/>
      <c r="J10" s="20">
        <v>0.42058624</v>
      </c>
      <c r="K10" s="4"/>
    </row>
    <row r="11" spans="2:14">
      <c r="B11" s="38"/>
      <c r="C11" s="38"/>
      <c r="D11" s="22">
        <v>0.14269907000000001</v>
      </c>
      <c r="E11" s="22">
        <v>0.34900513</v>
      </c>
      <c r="G11" s="38"/>
      <c r="H11" s="38"/>
      <c r="I11" s="38"/>
      <c r="J11" s="20">
        <v>-6.5623619999999994E-2</v>
      </c>
      <c r="K11" s="4"/>
    </row>
    <row r="12" spans="2:14">
      <c r="B12" s="38"/>
      <c r="C12" s="38"/>
      <c r="D12" s="22">
        <v>0.84527543000000005</v>
      </c>
      <c r="E12" s="22">
        <v>0.71112027</v>
      </c>
      <c r="G12" s="38"/>
      <c r="H12" s="38"/>
      <c r="I12" s="38"/>
      <c r="J12" s="20">
        <v>0.29399291</v>
      </c>
      <c r="K12" s="6"/>
    </row>
    <row r="13" spans="2:14">
      <c r="B13" s="38"/>
      <c r="C13" s="38"/>
      <c r="D13" s="22">
        <v>0.45464714000000001</v>
      </c>
      <c r="E13" s="22">
        <v>0.29045517999999998</v>
      </c>
      <c r="G13" s="38"/>
      <c r="H13" s="38"/>
      <c r="I13" s="38"/>
      <c r="J13" s="20">
        <v>0.21496451</v>
      </c>
      <c r="K13" s="20"/>
    </row>
    <row r="14" spans="2:14">
      <c r="B14" s="38"/>
      <c r="C14" s="38"/>
      <c r="D14" s="22">
        <v>0.57771284000000001</v>
      </c>
      <c r="E14" s="22">
        <v>0.77197318000000004</v>
      </c>
      <c r="G14" s="38"/>
      <c r="H14" s="38"/>
      <c r="I14" s="38"/>
      <c r="J14" s="20">
        <v>2.3105549999999999E-2</v>
      </c>
      <c r="K14" s="4"/>
    </row>
    <row r="15" spans="2:14">
      <c r="B15" s="38"/>
      <c r="C15" s="38"/>
      <c r="D15" s="22">
        <v>0.43816606000000002</v>
      </c>
      <c r="E15" s="22">
        <v>0.68501825999999999</v>
      </c>
      <c r="G15" s="38"/>
      <c r="H15" s="38"/>
      <c r="I15" s="38"/>
      <c r="J15" s="20">
        <v>0.24461933999999999</v>
      </c>
      <c r="K15" s="6"/>
    </row>
    <row r="16" spans="2:14">
      <c r="B16" s="38"/>
      <c r="C16" s="38"/>
      <c r="D16" s="22">
        <v>0.34174958999999999</v>
      </c>
      <c r="E16" s="22">
        <v>2.8697719999999999E-2</v>
      </c>
      <c r="G16" s="38"/>
      <c r="H16" s="38"/>
      <c r="I16" s="38"/>
      <c r="J16" s="20">
        <v>3.8749020000000002E-2</v>
      </c>
      <c r="K16" s="6"/>
    </row>
    <row r="17" spans="2:14">
      <c r="B17" s="38"/>
      <c r="C17" s="38"/>
      <c r="D17" s="22">
        <v>0.33864815999999998</v>
      </c>
      <c r="E17" s="22">
        <v>0.21386725000000001</v>
      </c>
      <c r="G17" s="38"/>
      <c r="H17" s="38"/>
      <c r="I17" s="38"/>
      <c r="J17" s="20">
        <v>-1.3857619999999999E-2</v>
      </c>
      <c r="K17" s="6"/>
    </row>
    <row r="18" spans="2:14">
      <c r="B18" s="38"/>
      <c r="C18" s="38"/>
      <c r="D18" s="22">
        <v>0.70263655999999997</v>
      </c>
      <c r="E18" s="22">
        <v>0.92656419999999995</v>
      </c>
      <c r="G18" s="38"/>
      <c r="H18" s="38"/>
      <c r="I18" s="38"/>
      <c r="J18" s="20">
        <v>0.61120521999999999</v>
      </c>
      <c r="K18" s="6"/>
    </row>
    <row r="19" spans="2:14">
      <c r="B19" s="23" t="s">
        <v>4</v>
      </c>
      <c r="C19" s="23">
        <v>1</v>
      </c>
      <c r="D19" s="27">
        <v>0.5</v>
      </c>
      <c r="E19" s="27">
        <v>0.5</v>
      </c>
      <c r="G19" s="24" t="s">
        <v>4</v>
      </c>
      <c r="H19" s="24">
        <v>1</v>
      </c>
      <c r="I19" s="24"/>
      <c r="J19" s="26">
        <v>0.70032323557308995</v>
      </c>
      <c r="K19" s="24"/>
      <c r="L19" s="24"/>
      <c r="M19" s="24"/>
      <c r="N19" s="24"/>
    </row>
    <row r="20" spans="2:14" ht="37.799999999999997" customHeight="1">
      <c r="G20" s="19" t="s">
        <v>7</v>
      </c>
      <c r="H20" s="3">
        <v>0.8</v>
      </c>
      <c r="I20" s="3" t="s">
        <v>12</v>
      </c>
      <c r="J20" s="6"/>
      <c r="L20" s="21">
        <f>MAX(J9:J18,J19)</f>
        <v>0.70032323557308995</v>
      </c>
      <c r="M20" s="3" t="s">
        <v>17</v>
      </c>
      <c r="N20" s="29" t="b">
        <v>1</v>
      </c>
    </row>
    <row r="21" spans="2:14" ht="68.7" customHeight="1">
      <c r="G21" s="19" t="s">
        <v>18</v>
      </c>
      <c r="H21" s="3">
        <v>0.8</v>
      </c>
      <c r="I21" s="3" t="s">
        <v>12</v>
      </c>
      <c r="L21" s="21">
        <f>MAX(J9:J18,J19)</f>
        <v>0.70032323557308995</v>
      </c>
      <c r="M21" s="3" t="s">
        <v>17</v>
      </c>
    </row>
    <row r="22" spans="2:14">
      <c r="B22" s="23" t="s">
        <v>4</v>
      </c>
      <c r="C22" s="23">
        <v>2</v>
      </c>
      <c r="D22" s="27">
        <v>0.99899899999999997</v>
      </c>
      <c r="E22" s="27">
        <v>1</v>
      </c>
      <c r="G22" s="24" t="s">
        <v>4</v>
      </c>
      <c r="H22" s="24">
        <v>2</v>
      </c>
      <c r="I22" s="24"/>
      <c r="J22" s="26">
        <v>2.8722774311624101E-2</v>
      </c>
      <c r="K22" s="24"/>
      <c r="L22" s="24"/>
      <c r="M22" s="24"/>
      <c r="N22" s="24"/>
    </row>
    <row r="23" spans="2:14" ht="45.3">
      <c r="G23" s="19" t="s">
        <v>39</v>
      </c>
      <c r="H23" s="3">
        <v>0.95</v>
      </c>
      <c r="I23" s="3" t="s">
        <v>12</v>
      </c>
      <c r="L23" s="21">
        <f>MAX(L20,J22)</f>
        <v>0.70032323557308995</v>
      </c>
      <c r="M23" s="3" t="s">
        <v>42</v>
      </c>
    </row>
    <row r="24" spans="2:14" ht="59.7" customHeight="1">
      <c r="G24" s="19" t="s">
        <v>40</v>
      </c>
      <c r="H24" s="3">
        <v>0.95</v>
      </c>
      <c r="I24" s="3" t="s">
        <v>12</v>
      </c>
      <c r="L24" s="21">
        <f>MAX(L20,J22)</f>
        <v>0.70032323557308995</v>
      </c>
      <c r="M24" s="3" t="s">
        <v>43</v>
      </c>
      <c r="N24" s="29" t="b">
        <v>1</v>
      </c>
    </row>
    <row r="25" spans="2:14" ht="63.3" customHeight="1">
      <c r="G25" s="19" t="s">
        <v>38</v>
      </c>
      <c r="H25" s="3">
        <v>0.95</v>
      </c>
      <c r="I25" s="3" t="s">
        <v>12</v>
      </c>
      <c r="L25" s="21">
        <f>MAX(L20,J22)</f>
        <v>0.70032323557308995</v>
      </c>
      <c r="M25" s="3" t="s">
        <v>41</v>
      </c>
    </row>
    <row r="26" spans="2:14">
      <c r="B26" s="23" t="s">
        <v>4</v>
      </c>
      <c r="C26" s="23">
        <v>3</v>
      </c>
      <c r="D26" s="27">
        <v>0.47447400000000001</v>
      </c>
      <c r="E26" s="27">
        <v>0.47547499999999998</v>
      </c>
      <c r="G26" s="24" t="s">
        <v>4</v>
      </c>
      <c r="H26" s="24">
        <v>3</v>
      </c>
      <c r="I26" s="24"/>
      <c r="J26" s="26">
        <v>0.65954311857258696</v>
      </c>
      <c r="K26" s="24"/>
      <c r="L26" s="24"/>
      <c r="M26" s="24"/>
      <c r="N26" s="24"/>
    </row>
    <row r="27" spans="2:14" ht="45.3">
      <c r="G27" s="19" t="s">
        <v>40</v>
      </c>
      <c r="H27" s="3">
        <v>0.95</v>
      </c>
      <c r="I27" s="3" t="s">
        <v>12</v>
      </c>
      <c r="L27" s="21">
        <f>MAX(L24,J26)</f>
        <v>0.70032323557308995</v>
      </c>
      <c r="M27" s="3" t="s">
        <v>57</v>
      </c>
      <c r="N27" s="2"/>
    </row>
    <row r="28" spans="2:14" ht="36.9" customHeight="1">
      <c r="G28" s="19" t="s">
        <v>58</v>
      </c>
      <c r="L28" s="21">
        <f>MAX(L24,J26)</f>
        <v>0.70032323557308995</v>
      </c>
      <c r="M28" s="3" t="s">
        <v>70</v>
      </c>
      <c r="N28" s="29" t="b">
        <v>1</v>
      </c>
    </row>
    <row r="29" spans="2:14">
      <c r="B29" s="23" t="s">
        <v>4</v>
      </c>
      <c r="C29" s="23">
        <v>4</v>
      </c>
      <c r="D29" s="27">
        <v>0</v>
      </c>
      <c r="E29" s="27">
        <v>0</v>
      </c>
      <c r="G29" s="24" t="s">
        <v>4</v>
      </c>
      <c r="H29" s="24">
        <v>4</v>
      </c>
      <c r="I29" s="24"/>
      <c r="J29" s="26">
        <v>-9.6034610514321606E-2</v>
      </c>
      <c r="K29" s="24"/>
      <c r="L29" s="24"/>
      <c r="M29" s="24"/>
      <c r="N29" s="24"/>
    </row>
    <row r="30" spans="2:14" ht="46.2" customHeight="1">
      <c r="G30" s="19" t="s">
        <v>71</v>
      </c>
      <c r="H30" s="3">
        <v>0.95</v>
      </c>
      <c r="I30" s="3" t="s">
        <v>12</v>
      </c>
      <c r="L30" s="21">
        <f>MAX(L28,J29)</f>
        <v>0.70032323557308995</v>
      </c>
      <c r="M30" s="3" t="s">
        <v>69</v>
      </c>
      <c r="N30" s="29" t="b">
        <v>1</v>
      </c>
    </row>
    <row r="31" spans="2:14">
      <c r="B31" s="23" t="s">
        <v>4</v>
      </c>
      <c r="C31" s="23">
        <v>5</v>
      </c>
      <c r="D31" s="27">
        <v>0.85685599999999995</v>
      </c>
      <c r="E31" s="27">
        <v>0.85785699999999998</v>
      </c>
      <c r="G31" s="24" t="s">
        <v>4</v>
      </c>
      <c r="H31" s="24">
        <v>5</v>
      </c>
      <c r="I31" s="24"/>
      <c r="J31" s="26">
        <v>0.22080276057040199</v>
      </c>
      <c r="K31" s="24"/>
      <c r="L31" s="24"/>
      <c r="M31" s="24"/>
      <c r="N31" s="24"/>
    </row>
    <row r="32" spans="2:14" ht="31.8" customHeight="1">
      <c r="G32" s="19" t="s">
        <v>58</v>
      </c>
      <c r="L32" s="21">
        <f>MAX(L30,J31)</f>
        <v>0.70032323557308995</v>
      </c>
      <c r="M32" s="3" t="s">
        <v>83</v>
      </c>
      <c r="N32" s="29" t="b">
        <v>1</v>
      </c>
    </row>
  </sheetData>
  <mergeCells count="6">
    <mergeCell ref="B4:C4"/>
    <mergeCell ref="B3:C3"/>
    <mergeCell ref="G9:I18"/>
    <mergeCell ref="B7:E7"/>
    <mergeCell ref="G7:J7"/>
    <mergeCell ref="B9:C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8AF6-32B3-4A29-BBAB-B50A72E3787B}">
  <dimension ref="B3:O36"/>
  <sheetViews>
    <sheetView zoomScale="80" zoomScaleNormal="80" workbookViewId="0">
      <selection activeCell="K40" sqref="K40"/>
    </sheetView>
  </sheetViews>
  <sheetFormatPr defaultRowHeight="14.4"/>
  <cols>
    <col min="2" max="2" width="11.734375" customWidth="1"/>
    <col min="3" max="3" width="12.05078125" customWidth="1"/>
    <col min="4" max="4" width="11.62890625" customWidth="1"/>
    <col min="5" max="6" width="11.89453125" customWidth="1"/>
    <col min="8" max="8" width="26.5234375" customWidth="1"/>
    <col min="9" max="9" width="17.15625" bestFit="1" customWidth="1"/>
    <col min="10" max="10" width="17.15625" customWidth="1"/>
    <col min="11" max="11" width="16" customWidth="1"/>
    <col min="12" max="12" width="18.1015625" customWidth="1"/>
    <col min="13" max="13" width="24" customWidth="1"/>
    <col min="14" max="14" width="28.62890625" customWidth="1"/>
    <col min="15" max="15" width="22.15625" customWidth="1"/>
  </cols>
  <sheetData>
    <row r="3" spans="2:15">
      <c r="B3" s="36" t="s">
        <v>0</v>
      </c>
      <c r="C3" s="37"/>
      <c r="D3" s="11">
        <v>3</v>
      </c>
    </row>
    <row r="4" spans="2:15">
      <c r="B4" s="34" t="s">
        <v>1</v>
      </c>
      <c r="C4" s="35"/>
      <c r="D4" s="12">
        <v>1</v>
      </c>
    </row>
    <row r="7" spans="2:15" ht="38.4" customHeight="1">
      <c r="B7" s="39" t="s">
        <v>3</v>
      </c>
      <c r="C7" s="39"/>
      <c r="D7" s="39"/>
      <c r="E7" s="39"/>
      <c r="F7" s="7"/>
      <c r="H7" s="40" t="s">
        <v>5</v>
      </c>
      <c r="I7" s="40"/>
      <c r="J7" s="40"/>
      <c r="K7" s="40"/>
      <c r="L7" s="1"/>
      <c r="M7" s="14" t="s">
        <v>6</v>
      </c>
      <c r="N7" s="14" t="s">
        <v>16</v>
      </c>
      <c r="O7" s="14" t="s">
        <v>37</v>
      </c>
    </row>
    <row r="8" spans="2:15" ht="21.3">
      <c r="B8" s="41"/>
      <c r="C8" s="41"/>
      <c r="D8" s="16" t="s">
        <v>13</v>
      </c>
      <c r="E8" s="17" t="s">
        <v>14</v>
      </c>
      <c r="F8" s="16" t="s">
        <v>19</v>
      </c>
      <c r="H8" s="8" t="s">
        <v>8</v>
      </c>
      <c r="I8" s="9" t="s">
        <v>9</v>
      </c>
      <c r="J8" s="15" t="s">
        <v>11</v>
      </c>
      <c r="K8" s="18" t="s">
        <v>10</v>
      </c>
      <c r="L8" s="1"/>
      <c r="M8" s="3"/>
    </row>
    <row r="9" spans="2:15">
      <c r="B9" s="38" t="s">
        <v>2</v>
      </c>
      <c r="C9" s="38"/>
      <c r="D9" s="22">
        <v>0.17152521000000001</v>
      </c>
      <c r="E9" s="22">
        <v>0.34391686999999999</v>
      </c>
      <c r="F9" s="22">
        <v>0.24873719999999999</v>
      </c>
      <c r="H9" s="38" t="s">
        <v>2</v>
      </c>
      <c r="I9" s="38"/>
      <c r="J9" s="38"/>
      <c r="K9" s="20">
        <v>-0.11212220000000001</v>
      </c>
      <c r="L9" s="4"/>
    </row>
    <row r="10" spans="2:15">
      <c r="B10" s="38"/>
      <c r="C10" s="38"/>
      <c r="D10" s="22">
        <v>0.24211446</v>
      </c>
      <c r="E10" s="22">
        <v>0.64407426999999995</v>
      </c>
      <c r="F10" s="22">
        <v>0.27243281000000003</v>
      </c>
      <c r="H10" s="38"/>
      <c r="I10" s="38"/>
      <c r="J10" s="38"/>
      <c r="K10" s="20">
        <v>-8.7962860000000004E-2</v>
      </c>
      <c r="L10" s="4"/>
    </row>
    <row r="11" spans="2:15">
      <c r="B11" s="38"/>
      <c r="C11" s="38"/>
      <c r="D11" s="22">
        <v>0.53490572000000003</v>
      </c>
      <c r="E11" s="22">
        <v>0.39850091999999998</v>
      </c>
      <c r="F11" s="22">
        <v>0.17338872999999999</v>
      </c>
      <c r="H11" s="38"/>
      <c r="I11" s="38"/>
      <c r="J11" s="38"/>
      <c r="K11" s="20">
        <v>-0.11141465</v>
      </c>
      <c r="L11" s="4"/>
    </row>
    <row r="12" spans="2:15">
      <c r="B12" s="38"/>
      <c r="C12" s="38"/>
      <c r="D12" s="22">
        <v>0.49258141</v>
      </c>
      <c r="E12" s="22">
        <v>0.61159319000000001</v>
      </c>
      <c r="F12" s="22">
        <v>0.34017639</v>
      </c>
      <c r="H12" s="38"/>
      <c r="I12" s="38"/>
      <c r="J12" s="38"/>
      <c r="K12" s="20">
        <v>-3.4835310000000001E-2</v>
      </c>
      <c r="L12" s="6"/>
    </row>
    <row r="13" spans="2:15">
      <c r="B13" s="38"/>
      <c r="C13" s="38"/>
      <c r="D13" s="22">
        <v>0.13462167</v>
      </c>
      <c r="E13" s="22">
        <v>0.21991724000000001</v>
      </c>
      <c r="F13" s="22">
        <v>0.45820622</v>
      </c>
      <c r="H13" s="38"/>
      <c r="I13" s="38"/>
      <c r="J13" s="38"/>
      <c r="K13" s="20">
        <v>-4.8007580000000001E-2</v>
      </c>
      <c r="L13" s="20"/>
    </row>
    <row r="14" spans="2:15">
      <c r="B14" s="38"/>
      <c r="C14" s="38"/>
      <c r="D14" s="22">
        <v>0.34552326999999999</v>
      </c>
      <c r="E14" s="22">
        <v>0.94135983000000001</v>
      </c>
      <c r="F14" s="22">
        <v>0.26936347999999999</v>
      </c>
      <c r="H14" s="38"/>
      <c r="I14" s="38"/>
      <c r="J14" s="38"/>
      <c r="K14" s="20">
        <v>-0.11062091</v>
      </c>
      <c r="L14" s="4"/>
    </row>
    <row r="15" spans="2:15">
      <c r="B15" s="38"/>
      <c r="C15" s="38"/>
      <c r="D15" s="22">
        <v>0.15183663</v>
      </c>
      <c r="E15" s="22">
        <v>0.43999062</v>
      </c>
      <c r="F15" s="22">
        <v>0.99088187000000005</v>
      </c>
      <c r="H15" s="38"/>
      <c r="I15" s="38"/>
      <c r="J15" s="38"/>
      <c r="K15" s="20">
        <v>-0.39892550999999998</v>
      </c>
      <c r="L15" s="6"/>
    </row>
    <row r="16" spans="2:15">
      <c r="B16" s="38"/>
      <c r="C16" s="38"/>
      <c r="D16" s="22">
        <v>0.64550284000000002</v>
      </c>
      <c r="E16" s="22">
        <v>0.39714294</v>
      </c>
      <c r="F16" s="22">
        <v>0.91977134000000005</v>
      </c>
      <c r="H16" s="38"/>
      <c r="I16" s="38"/>
      <c r="J16" s="38"/>
      <c r="K16" s="20">
        <v>-0.11386851000000001</v>
      </c>
      <c r="L16" s="6"/>
    </row>
    <row r="17" spans="2:15">
      <c r="B17" s="38"/>
      <c r="C17" s="38"/>
      <c r="D17" s="22">
        <v>0.74691194999999999</v>
      </c>
      <c r="E17" s="22">
        <v>0.28419631000000001</v>
      </c>
      <c r="F17" s="22">
        <v>0.22629985</v>
      </c>
      <c r="H17" s="38"/>
      <c r="I17" s="38"/>
      <c r="J17" s="38"/>
      <c r="K17" s="20">
        <v>-0.13146061000000001</v>
      </c>
      <c r="L17" s="6"/>
    </row>
    <row r="18" spans="2:15">
      <c r="B18" s="38"/>
      <c r="C18" s="38"/>
      <c r="D18" s="22">
        <v>0.17047698999999999</v>
      </c>
      <c r="E18" s="22">
        <v>0.6970324</v>
      </c>
      <c r="F18" s="22">
        <v>0.14916942999999999</v>
      </c>
      <c r="H18" s="38"/>
      <c r="I18" s="38"/>
      <c r="J18" s="38"/>
      <c r="K18" s="20">
        <v>-9.4189560000000006E-2</v>
      </c>
      <c r="L18" s="6"/>
    </row>
    <row r="19" spans="2:15">
      <c r="B19" s="38"/>
      <c r="C19" s="38"/>
      <c r="D19" s="22">
        <v>0.22054934000000001</v>
      </c>
      <c r="E19" s="22">
        <v>0.29782523999999999</v>
      </c>
      <c r="F19" s="22">
        <v>0.34355533999999999</v>
      </c>
      <c r="H19" s="38"/>
      <c r="I19" s="38"/>
      <c r="J19" s="38"/>
      <c r="K19" s="20">
        <v>-4.6947410000000002E-2</v>
      </c>
      <c r="L19" s="6"/>
    </row>
    <row r="20" spans="2:15">
      <c r="B20" s="38"/>
      <c r="C20" s="38"/>
      <c r="D20" s="22">
        <v>0.66601365999999995</v>
      </c>
      <c r="E20" s="22">
        <v>0.67198515000000003</v>
      </c>
      <c r="F20" s="22">
        <v>0.24629529999999999</v>
      </c>
      <c r="H20" s="38"/>
      <c r="I20" s="38"/>
      <c r="J20" s="38"/>
      <c r="K20" s="20">
        <v>-0.10596504</v>
      </c>
      <c r="L20" s="6"/>
    </row>
    <row r="21" spans="2:15">
      <c r="B21" s="38"/>
      <c r="C21" s="38"/>
      <c r="D21" s="22">
        <v>4.6808950000000002E-2</v>
      </c>
      <c r="E21" s="22">
        <v>0.23136023999999999</v>
      </c>
      <c r="F21" s="22">
        <v>0.77061758999999996</v>
      </c>
      <c r="H21" s="38"/>
      <c r="I21" s="38"/>
      <c r="J21" s="38"/>
      <c r="K21" s="20">
        <v>-0.11804826</v>
      </c>
      <c r="L21" s="6"/>
    </row>
    <row r="22" spans="2:15">
      <c r="B22" s="38"/>
      <c r="C22" s="38"/>
      <c r="D22" s="22">
        <v>0.60009727999999996</v>
      </c>
      <c r="E22" s="22">
        <v>0.72513572999999998</v>
      </c>
      <c r="F22" s="22">
        <v>6.6088640000000004E-2</v>
      </c>
      <c r="H22" s="38"/>
      <c r="I22" s="38"/>
      <c r="J22" s="38"/>
      <c r="K22" s="20">
        <v>-3.637783E-2</v>
      </c>
      <c r="L22" s="6"/>
    </row>
    <row r="23" spans="2:15">
      <c r="B23" s="38"/>
      <c r="C23" s="38"/>
      <c r="D23" s="22">
        <v>0.96599484999999996</v>
      </c>
      <c r="E23" s="22">
        <v>0.86111968999999999</v>
      </c>
      <c r="F23" s="22">
        <v>0.56682913000000001</v>
      </c>
      <c r="H23" s="38"/>
      <c r="I23" s="38"/>
      <c r="J23" s="38"/>
      <c r="K23" s="20">
        <v>-5.6758370000000002E-2</v>
      </c>
      <c r="L23" s="6"/>
    </row>
    <row r="24" spans="2:15">
      <c r="B24" s="23" t="s">
        <v>4</v>
      </c>
      <c r="C24" s="23">
        <v>1</v>
      </c>
      <c r="D24" s="27">
        <v>0.5</v>
      </c>
      <c r="E24" s="27">
        <v>0.5</v>
      </c>
      <c r="F24" s="27">
        <v>0.5</v>
      </c>
      <c r="H24" s="24" t="s">
        <v>4</v>
      </c>
      <c r="I24" s="24">
        <v>1</v>
      </c>
      <c r="J24" s="24"/>
      <c r="K24" s="26">
        <v>-3.7555388348285302E-3</v>
      </c>
      <c r="L24" s="24"/>
      <c r="M24" s="24"/>
      <c r="N24" s="24"/>
      <c r="O24" s="24"/>
    </row>
    <row r="25" spans="2:15" ht="39.299999999999997" customHeight="1">
      <c r="H25" s="19" t="s">
        <v>7</v>
      </c>
      <c r="I25" s="3">
        <v>0.8</v>
      </c>
      <c r="J25" s="3" t="s">
        <v>12</v>
      </c>
      <c r="K25" s="6"/>
      <c r="M25" s="21">
        <f>MAX(K9:K23,K24)</f>
        <v>-3.7555388348285302E-3</v>
      </c>
      <c r="N25" s="19" t="s">
        <v>20</v>
      </c>
      <c r="O25" s="29" t="b">
        <v>1</v>
      </c>
    </row>
    <row r="26" spans="2:15" ht="43.5" customHeight="1">
      <c r="H26" s="19" t="s">
        <v>15</v>
      </c>
      <c r="I26" s="3">
        <v>0.8</v>
      </c>
      <c r="J26" s="3" t="s">
        <v>12</v>
      </c>
      <c r="M26" s="21">
        <f>MAX(K9:K23,K24)</f>
        <v>-3.7555388348285302E-3</v>
      </c>
      <c r="N26" s="19" t="s">
        <v>21</v>
      </c>
    </row>
    <row r="27" spans="2:15">
      <c r="B27" s="23" t="s">
        <v>4</v>
      </c>
      <c r="C27" s="23">
        <v>2</v>
      </c>
      <c r="D27" s="27">
        <v>0.99866577999999995</v>
      </c>
      <c r="E27" s="27">
        <v>0.99933289000000003</v>
      </c>
      <c r="F27" s="27">
        <v>1</v>
      </c>
      <c r="H27" s="24" t="s">
        <v>4</v>
      </c>
      <c r="I27" s="24">
        <v>2</v>
      </c>
      <c r="J27" s="24"/>
      <c r="K27" s="26">
        <v>-0.47577599999999998</v>
      </c>
      <c r="L27" s="24"/>
      <c r="M27" s="24"/>
      <c r="N27" s="24"/>
      <c r="O27" s="24"/>
    </row>
    <row r="28" spans="2:15" ht="43.8" customHeight="1">
      <c r="H28" s="19" t="s">
        <v>7</v>
      </c>
      <c r="I28" s="3">
        <v>0.95</v>
      </c>
      <c r="J28" s="3" t="s">
        <v>12</v>
      </c>
      <c r="M28" s="21">
        <f>MAX(M25,K27)</f>
        <v>-3.7555388348285302E-3</v>
      </c>
      <c r="N28" s="3" t="s">
        <v>44</v>
      </c>
      <c r="O28" s="30" t="b">
        <v>1</v>
      </c>
    </row>
    <row r="29" spans="2:15" ht="43.2">
      <c r="H29" s="19" t="s">
        <v>46</v>
      </c>
      <c r="I29" s="3">
        <v>0.95</v>
      </c>
      <c r="J29" s="3" t="s">
        <v>12</v>
      </c>
      <c r="M29" s="21">
        <f>MAX(M25,K27)</f>
        <v>-3.7555388348285302E-3</v>
      </c>
      <c r="N29" s="3" t="s">
        <v>45</v>
      </c>
      <c r="O29" s="2"/>
    </row>
    <row r="30" spans="2:15">
      <c r="B30" s="23" t="s">
        <v>4</v>
      </c>
      <c r="C30" s="23">
        <v>3</v>
      </c>
      <c r="D30" s="27">
        <v>0.41827900000000001</v>
      </c>
      <c r="E30" s="27">
        <v>0.41894599999999999</v>
      </c>
      <c r="F30" s="27">
        <v>0.41961300000000001</v>
      </c>
      <c r="H30" s="24" t="s">
        <v>4</v>
      </c>
      <c r="I30" s="24">
        <v>3</v>
      </c>
      <c r="J30" s="24"/>
      <c r="K30" s="26">
        <v>-3.4320243437859901E-2</v>
      </c>
      <c r="L30" s="24"/>
      <c r="M30" s="24"/>
      <c r="N30" s="24"/>
      <c r="O30" s="24"/>
    </row>
    <row r="31" spans="2:15" ht="37.200000000000003" customHeight="1">
      <c r="H31" s="19" t="s">
        <v>7</v>
      </c>
      <c r="I31" s="3">
        <v>0.95</v>
      </c>
      <c r="J31" s="3" t="s">
        <v>12</v>
      </c>
      <c r="M31" s="21">
        <f>MAX(M28,K30)</f>
        <v>-3.7555388348285302E-3</v>
      </c>
      <c r="N31" s="3" t="s">
        <v>45</v>
      </c>
      <c r="O31" s="29" t="b">
        <v>1</v>
      </c>
    </row>
    <row r="32" spans="2:15" ht="43.2">
      <c r="H32" s="19" t="s">
        <v>46</v>
      </c>
      <c r="I32" s="3">
        <v>0.95</v>
      </c>
      <c r="J32" s="3" t="s">
        <v>12</v>
      </c>
      <c r="M32" s="21">
        <f>MAX(M28,K30)</f>
        <v>-3.7555388348285302E-3</v>
      </c>
      <c r="N32" s="3" t="s">
        <v>45</v>
      </c>
    </row>
    <row r="33" spans="2:15">
      <c r="B33" s="23" t="s">
        <v>4</v>
      </c>
      <c r="C33" s="23">
        <v>4</v>
      </c>
      <c r="D33" s="27">
        <v>0</v>
      </c>
      <c r="E33" s="27">
        <v>6.6699999999999995E-4</v>
      </c>
      <c r="F33" s="27">
        <v>1.3339999999999999E-3</v>
      </c>
      <c r="H33" s="24" t="s">
        <v>4</v>
      </c>
      <c r="I33" s="24">
        <v>4</v>
      </c>
      <c r="J33" s="24"/>
      <c r="K33" s="26">
        <v>-0.16923058367993099</v>
      </c>
      <c r="L33" s="24"/>
      <c r="M33" s="24"/>
      <c r="N33" s="24"/>
      <c r="O33" s="24"/>
    </row>
    <row r="34" spans="2:15" ht="43.2">
      <c r="H34" s="19" t="s">
        <v>68</v>
      </c>
      <c r="I34" s="3">
        <v>0.95</v>
      </c>
      <c r="J34" s="3" t="s">
        <v>12</v>
      </c>
      <c r="M34" s="21">
        <f>MAX(M31,K33)</f>
        <v>-3.7555388348285302E-3</v>
      </c>
      <c r="N34" s="3" t="s">
        <v>72</v>
      </c>
      <c r="O34" s="29" t="b">
        <v>1</v>
      </c>
    </row>
    <row r="35" spans="2:15">
      <c r="B35" s="23" t="s">
        <v>4</v>
      </c>
      <c r="C35" s="23">
        <v>5</v>
      </c>
      <c r="D35" s="27">
        <v>0.74849900000000003</v>
      </c>
      <c r="E35" s="27">
        <v>0.749166</v>
      </c>
      <c r="F35" s="27">
        <v>0.74983299999999997</v>
      </c>
      <c r="H35" s="24" t="s">
        <v>4</v>
      </c>
      <c r="I35" s="24">
        <v>5</v>
      </c>
      <c r="J35" s="24"/>
      <c r="K35" s="26">
        <v>-0.123204361989619</v>
      </c>
      <c r="L35" s="24"/>
      <c r="M35" s="24"/>
      <c r="N35" s="24"/>
      <c r="O35" s="24"/>
    </row>
    <row r="36" spans="2:15" ht="28.8">
      <c r="H36" s="19" t="s">
        <v>58</v>
      </c>
      <c r="M36" s="21">
        <f>MAX(M34,K35)</f>
        <v>-3.7555388348285302E-3</v>
      </c>
      <c r="N36" s="3" t="s">
        <v>85</v>
      </c>
      <c r="O36" s="32" t="b">
        <v>1</v>
      </c>
    </row>
  </sheetData>
  <mergeCells count="7">
    <mergeCell ref="B9:C23"/>
    <mergeCell ref="H9:J23"/>
    <mergeCell ref="B3:C3"/>
    <mergeCell ref="B4:C4"/>
    <mergeCell ref="B7:E7"/>
    <mergeCell ref="H7:K7"/>
    <mergeCell ref="B8:C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826F-7241-48DF-A0E8-08483F533A08}">
  <dimension ref="B3:P50"/>
  <sheetViews>
    <sheetView topLeftCell="A10" zoomScale="80" zoomScaleNormal="80" workbookViewId="0">
      <selection activeCell="O50" sqref="O50"/>
    </sheetView>
  </sheetViews>
  <sheetFormatPr defaultRowHeight="14.4"/>
  <cols>
    <col min="2" max="2" width="11.734375" customWidth="1"/>
    <col min="3" max="3" width="12.05078125" customWidth="1"/>
    <col min="4" max="4" width="11.62890625" customWidth="1"/>
    <col min="5" max="7" width="11.89453125" customWidth="1"/>
    <col min="9" max="9" width="28.3671875" customWidth="1"/>
    <col min="10" max="10" width="17.15625" bestFit="1" customWidth="1"/>
    <col min="11" max="11" width="17.15625" customWidth="1"/>
    <col min="12" max="12" width="16" customWidth="1"/>
    <col min="13" max="13" width="10.7890625" customWidth="1"/>
    <col min="14" max="14" width="22.89453125" customWidth="1"/>
    <col min="15" max="15" width="24.7890625" customWidth="1"/>
    <col min="16" max="16" width="22.15625" customWidth="1"/>
  </cols>
  <sheetData>
    <row r="3" spans="2:16">
      <c r="B3" s="36" t="s">
        <v>0</v>
      </c>
      <c r="C3" s="37"/>
      <c r="D3" s="11">
        <v>4</v>
      </c>
    </row>
    <row r="4" spans="2:16">
      <c r="B4" s="34" t="s">
        <v>1</v>
      </c>
      <c r="C4" s="35"/>
      <c r="D4" s="12">
        <v>1</v>
      </c>
    </row>
    <row r="7" spans="2:16" ht="38.4" customHeight="1">
      <c r="B7" s="39" t="s">
        <v>3</v>
      </c>
      <c r="C7" s="39"/>
      <c r="D7" s="39"/>
      <c r="E7" s="39"/>
      <c r="F7" s="7"/>
      <c r="G7" s="7"/>
      <c r="I7" s="40" t="s">
        <v>5</v>
      </c>
      <c r="J7" s="40"/>
      <c r="K7" s="40"/>
      <c r="L7" s="40"/>
      <c r="M7" s="1"/>
      <c r="N7" s="14" t="s">
        <v>6</v>
      </c>
      <c r="O7" s="14" t="s">
        <v>16</v>
      </c>
      <c r="P7" s="14" t="s">
        <v>37</v>
      </c>
    </row>
    <row r="8" spans="2:16" ht="21.3">
      <c r="B8" s="41"/>
      <c r="C8" s="41"/>
      <c r="D8" s="16" t="s">
        <v>13</v>
      </c>
      <c r="E8" s="17" t="s">
        <v>14</v>
      </c>
      <c r="F8" s="16" t="s">
        <v>19</v>
      </c>
      <c r="G8" s="17" t="s">
        <v>22</v>
      </c>
      <c r="I8" s="8" t="s">
        <v>8</v>
      </c>
      <c r="J8" s="9" t="s">
        <v>9</v>
      </c>
      <c r="K8" s="15" t="s">
        <v>11</v>
      </c>
      <c r="L8" s="18" t="s">
        <v>10</v>
      </c>
      <c r="M8" s="1"/>
      <c r="N8" s="3"/>
    </row>
    <row r="9" spans="2:16">
      <c r="B9" s="38" t="s">
        <v>2</v>
      </c>
      <c r="C9" s="38"/>
      <c r="D9" s="22">
        <v>0.89698104999999995</v>
      </c>
      <c r="E9" s="22">
        <v>0.72562797000000001</v>
      </c>
      <c r="F9" s="22">
        <v>0.17540431000000001</v>
      </c>
      <c r="G9" s="22">
        <v>0.70169437000000001</v>
      </c>
      <c r="I9" s="38" t="s">
        <v>2</v>
      </c>
      <c r="J9" s="38"/>
      <c r="K9" s="38"/>
      <c r="L9" s="20">
        <v>-22.108287789999999</v>
      </c>
      <c r="M9" s="4"/>
    </row>
    <row r="10" spans="2:16">
      <c r="B10" s="38"/>
      <c r="C10" s="38"/>
      <c r="D10" s="22">
        <v>0.88935640000000005</v>
      </c>
      <c r="E10" s="22">
        <v>0.49958785999999999</v>
      </c>
      <c r="F10" s="22">
        <v>0.53926885999999996</v>
      </c>
      <c r="G10" s="22">
        <v>0.50878343999999998</v>
      </c>
      <c r="I10" s="38"/>
      <c r="J10" s="38"/>
      <c r="K10" s="38"/>
      <c r="L10" s="20">
        <v>-14.60139663</v>
      </c>
      <c r="M10" s="4"/>
    </row>
    <row r="11" spans="2:16">
      <c r="B11" s="38"/>
      <c r="C11" s="38"/>
      <c r="D11" s="22">
        <v>0.25094623999999999</v>
      </c>
      <c r="E11" s="22">
        <v>3.3693130000000002E-2</v>
      </c>
      <c r="F11" s="22">
        <v>0.14538002</v>
      </c>
      <c r="G11" s="22">
        <v>0.49493241999999998</v>
      </c>
      <c r="I11" s="38"/>
      <c r="J11" s="38"/>
      <c r="K11" s="38"/>
      <c r="L11" s="20">
        <v>-11.699932459999999</v>
      </c>
      <c r="M11" s="4"/>
    </row>
    <row r="12" spans="2:16">
      <c r="B12" s="38"/>
      <c r="C12" s="38"/>
      <c r="D12" s="22">
        <v>0.34696206000000002</v>
      </c>
      <c r="E12" s="22">
        <v>6.2503999999999997E-3</v>
      </c>
      <c r="F12" s="22">
        <v>0.76056360999999995</v>
      </c>
      <c r="G12" s="22">
        <v>0.61302356000000002</v>
      </c>
      <c r="I12" s="38"/>
      <c r="J12" s="38"/>
      <c r="K12" s="38"/>
      <c r="L12" s="20">
        <v>-16.053765110000001</v>
      </c>
      <c r="M12" s="6"/>
    </row>
    <row r="13" spans="2:16">
      <c r="B13" s="38"/>
      <c r="C13" s="38"/>
      <c r="D13" s="22">
        <v>0.12487118</v>
      </c>
      <c r="E13" s="22">
        <v>0.12977019000000001</v>
      </c>
      <c r="F13" s="22">
        <v>0.38440047999999999</v>
      </c>
      <c r="G13" s="22">
        <v>0.2870761</v>
      </c>
      <c r="I13" s="38"/>
      <c r="J13" s="38"/>
      <c r="K13" s="38"/>
      <c r="L13" s="20">
        <v>-10.06963343</v>
      </c>
      <c r="M13" s="20"/>
    </row>
    <row r="14" spans="2:16">
      <c r="B14" s="38"/>
      <c r="C14" s="38"/>
      <c r="D14" s="22">
        <v>0.80130270999999997</v>
      </c>
      <c r="E14" s="22">
        <v>0.50023108999999999</v>
      </c>
      <c r="F14" s="22">
        <v>0.70664455999999998</v>
      </c>
      <c r="G14" s="22">
        <v>0.19510284</v>
      </c>
      <c r="I14" s="38"/>
      <c r="J14" s="38"/>
      <c r="K14" s="38"/>
      <c r="L14" s="20">
        <v>-15.487082539999999</v>
      </c>
      <c r="M14" s="4"/>
    </row>
    <row r="15" spans="2:16">
      <c r="B15" s="38"/>
      <c r="C15" s="38"/>
      <c r="D15" s="22">
        <v>0.24770826000000001</v>
      </c>
      <c r="E15" s="22">
        <v>6.0445430000000001E-2</v>
      </c>
      <c r="F15" s="22">
        <v>4.2186349999999997E-2</v>
      </c>
      <c r="G15" s="22">
        <v>0.44132424999999997</v>
      </c>
      <c r="I15" s="38"/>
      <c r="J15" s="38"/>
      <c r="K15" s="38"/>
      <c r="L15" s="20">
        <v>-12.68168498</v>
      </c>
      <c r="M15" s="6"/>
    </row>
    <row r="16" spans="2:16">
      <c r="B16" s="38"/>
      <c r="C16" s="38"/>
      <c r="D16" s="22">
        <v>0.74670223999999996</v>
      </c>
      <c r="E16" s="22">
        <v>0.75709150000000003</v>
      </c>
      <c r="F16" s="22">
        <v>0.36935306000000001</v>
      </c>
      <c r="G16" s="22">
        <v>0.20656627999999999</v>
      </c>
      <c r="I16" s="38"/>
      <c r="J16" s="38"/>
      <c r="K16" s="38"/>
      <c r="L16" s="20">
        <v>-16.026399770000001</v>
      </c>
      <c r="M16" s="6"/>
    </row>
    <row r="17" spans="2:13">
      <c r="B17" s="38"/>
      <c r="C17" s="38"/>
      <c r="D17" s="22">
        <v>0.40066502999999998</v>
      </c>
      <c r="E17" s="22">
        <v>7.2574250000000007E-2</v>
      </c>
      <c r="F17" s="22">
        <v>0.88676825000000004</v>
      </c>
      <c r="G17" s="22">
        <v>0.24384228999999999</v>
      </c>
      <c r="I17" s="38"/>
      <c r="J17" s="38"/>
      <c r="K17" s="38"/>
      <c r="L17" s="20">
        <v>-17.049234649999999</v>
      </c>
      <c r="M17" s="6"/>
    </row>
    <row r="18" spans="2:13">
      <c r="B18" s="38"/>
      <c r="C18" s="38"/>
      <c r="D18" s="22">
        <v>0.62607060000000003</v>
      </c>
      <c r="E18" s="22">
        <v>0.58675126</v>
      </c>
      <c r="F18" s="22">
        <v>0.43880577999999998</v>
      </c>
      <c r="G18" s="22">
        <v>0.77885769000000005</v>
      </c>
      <c r="I18" s="38"/>
      <c r="J18" s="38"/>
      <c r="K18" s="38"/>
      <c r="L18" s="20">
        <v>-12.741765989999999</v>
      </c>
      <c r="M18" s="6"/>
    </row>
    <row r="19" spans="2:13">
      <c r="B19" s="38"/>
      <c r="C19" s="38"/>
      <c r="D19" s="22">
        <v>0.95713528999999997</v>
      </c>
      <c r="E19" s="22">
        <v>0.59764437999999998</v>
      </c>
      <c r="F19" s="22">
        <v>0.76611384999999999</v>
      </c>
      <c r="G19" s="22">
        <v>0.77620990999999995</v>
      </c>
      <c r="I19" s="38"/>
      <c r="J19" s="38"/>
      <c r="K19" s="38"/>
      <c r="L19" s="20">
        <v>-27.316396359999999</v>
      </c>
      <c r="M19" s="6"/>
    </row>
    <row r="20" spans="2:13">
      <c r="B20" s="38"/>
      <c r="C20" s="38"/>
      <c r="D20" s="22">
        <v>0.73281242999999996</v>
      </c>
      <c r="E20" s="22">
        <v>0.14524998</v>
      </c>
      <c r="F20" s="22">
        <v>0.47681272000000002</v>
      </c>
      <c r="G20" s="22">
        <v>0.13336572999999999</v>
      </c>
      <c r="I20" s="38"/>
      <c r="J20" s="38"/>
      <c r="K20" s="38"/>
      <c r="L20" s="20">
        <v>-13.52764887</v>
      </c>
      <c r="M20" s="6"/>
    </row>
    <row r="21" spans="2:13">
      <c r="B21" s="38"/>
      <c r="C21" s="38"/>
      <c r="D21" s="22">
        <v>0.65511547999999997</v>
      </c>
      <c r="E21" s="22">
        <v>7.2391830000000004E-2</v>
      </c>
      <c r="F21" s="22">
        <v>0.68715174999999995</v>
      </c>
      <c r="G21" s="22">
        <v>8.1516560000000002E-2</v>
      </c>
      <c r="I21" s="38"/>
      <c r="J21" s="38"/>
      <c r="K21" s="38"/>
      <c r="L21" s="20">
        <v>-16.679115199999998</v>
      </c>
      <c r="M21" s="6"/>
    </row>
    <row r="22" spans="2:13">
      <c r="B22" s="38"/>
      <c r="C22" s="38"/>
      <c r="D22" s="22">
        <v>0.21973443000000001</v>
      </c>
      <c r="E22" s="22">
        <v>0.83203134000000001</v>
      </c>
      <c r="F22" s="22">
        <v>0.48286415999999999</v>
      </c>
      <c r="G22" s="22">
        <v>8.2569229999999993E-2</v>
      </c>
      <c r="I22" s="38"/>
      <c r="J22" s="38"/>
      <c r="K22" s="38"/>
      <c r="L22" s="20">
        <v>-16.507158560000001</v>
      </c>
      <c r="M22" s="6"/>
    </row>
    <row r="23" spans="2:13">
      <c r="B23" s="38"/>
      <c r="C23" s="38"/>
      <c r="D23" s="22">
        <v>0.48859418999999998</v>
      </c>
      <c r="E23" s="22">
        <v>0.21196509999999999</v>
      </c>
      <c r="F23" s="22">
        <v>0.93917790999999995</v>
      </c>
      <c r="G23" s="22">
        <v>0.37619173</v>
      </c>
      <c r="I23" s="38"/>
      <c r="J23" s="38"/>
      <c r="K23" s="38"/>
      <c r="L23" s="20">
        <v>-17.81799934</v>
      </c>
      <c r="M23" s="6"/>
    </row>
    <row r="24" spans="2:13">
      <c r="B24" s="38"/>
      <c r="C24" s="38"/>
      <c r="D24" s="22">
        <v>0.16713048999999999</v>
      </c>
      <c r="E24" s="22">
        <v>0.87655455999999998</v>
      </c>
      <c r="F24" s="22">
        <v>0.21723954000000001</v>
      </c>
      <c r="G24" s="22">
        <v>0.95980098000000003</v>
      </c>
      <c r="I24" s="38"/>
      <c r="J24" s="38"/>
      <c r="K24" s="38"/>
      <c r="L24" s="20">
        <v>-26.561820829999998</v>
      </c>
      <c r="M24" s="6"/>
    </row>
    <row r="25" spans="2:13">
      <c r="B25" s="38"/>
      <c r="C25" s="38"/>
      <c r="D25" s="22">
        <v>0.21691119</v>
      </c>
      <c r="E25" s="22">
        <v>0.16608582999999999</v>
      </c>
      <c r="F25" s="22">
        <v>0.24137226000000001</v>
      </c>
      <c r="G25" s="22">
        <v>0.77006247999999999</v>
      </c>
      <c r="I25" s="38"/>
      <c r="J25" s="38"/>
      <c r="K25" s="38"/>
      <c r="L25" s="20">
        <v>-12.75832422</v>
      </c>
      <c r="M25" s="6"/>
    </row>
    <row r="26" spans="2:13">
      <c r="B26" s="38"/>
      <c r="C26" s="38"/>
      <c r="D26" s="22">
        <v>0.38748783999999997</v>
      </c>
      <c r="E26" s="22">
        <v>0.80453226</v>
      </c>
      <c r="F26" s="22">
        <v>0.75179547999999996</v>
      </c>
      <c r="G26" s="22">
        <v>0.72382743999999999</v>
      </c>
      <c r="I26" s="38"/>
      <c r="J26" s="38"/>
      <c r="K26" s="38"/>
      <c r="L26" s="20">
        <v>-19.441557620000001</v>
      </c>
      <c r="M26" s="6"/>
    </row>
    <row r="27" spans="2:13">
      <c r="B27" s="38"/>
      <c r="C27" s="38"/>
      <c r="D27" s="22">
        <v>0.98562189</v>
      </c>
      <c r="E27" s="22">
        <v>0.66693268000000006</v>
      </c>
      <c r="F27" s="22">
        <v>0.15678328</v>
      </c>
      <c r="G27" s="22">
        <v>0.85653480000000004</v>
      </c>
      <c r="I27" s="38"/>
      <c r="J27" s="38"/>
      <c r="K27" s="38"/>
      <c r="L27" s="20">
        <v>-28.903273670000001</v>
      </c>
      <c r="M27" s="6"/>
    </row>
    <row r="28" spans="2:13">
      <c r="B28" s="38"/>
      <c r="C28" s="38"/>
      <c r="D28" s="22">
        <v>3.7824829999999997E-2</v>
      </c>
      <c r="E28" s="22">
        <v>0.66485335000000001</v>
      </c>
      <c r="F28" s="22">
        <v>0.16198218</v>
      </c>
      <c r="G28" s="22">
        <v>0.25392377999999999</v>
      </c>
      <c r="I28" s="38"/>
      <c r="J28" s="38"/>
      <c r="K28" s="38"/>
      <c r="L28" s="20">
        <v>-13.702746940000001</v>
      </c>
      <c r="M28" s="6"/>
    </row>
    <row r="29" spans="2:13">
      <c r="B29" s="38"/>
      <c r="C29" s="38"/>
      <c r="D29" s="22">
        <v>0.68348637999999995</v>
      </c>
      <c r="E29" s="22">
        <v>0.90277010000000002</v>
      </c>
      <c r="F29" s="22">
        <v>0.33541982999999997</v>
      </c>
      <c r="G29" s="22">
        <v>0.99948256000000002</v>
      </c>
      <c r="I29" s="38"/>
      <c r="J29" s="38"/>
      <c r="K29" s="38"/>
      <c r="L29" s="20">
        <v>-29.427091399999998</v>
      </c>
      <c r="M29" s="6"/>
    </row>
    <row r="30" spans="2:13">
      <c r="B30" s="38"/>
      <c r="C30" s="38"/>
      <c r="D30" s="22">
        <v>0.17034731</v>
      </c>
      <c r="E30" s="22">
        <v>0.75695908000000001</v>
      </c>
      <c r="F30" s="22">
        <v>0.27652049000000001</v>
      </c>
      <c r="G30" s="22">
        <v>0.53123149999999997</v>
      </c>
      <c r="I30" s="38"/>
      <c r="J30" s="38"/>
      <c r="K30" s="38"/>
      <c r="L30" s="20">
        <v>-11.565741989999999</v>
      </c>
      <c r="M30" s="6"/>
    </row>
    <row r="31" spans="2:13">
      <c r="B31" s="38"/>
      <c r="C31" s="38"/>
      <c r="D31" s="22">
        <v>0.85965692000000005</v>
      </c>
      <c r="E31" s="22">
        <v>0.91959232000000002</v>
      </c>
      <c r="F31" s="22">
        <v>0.20613872999999999</v>
      </c>
      <c r="G31" s="22">
        <v>9.7796830000000001E-2</v>
      </c>
      <c r="I31" s="38"/>
      <c r="J31" s="38"/>
      <c r="K31" s="38"/>
      <c r="L31" s="20">
        <v>-26.857786440000002</v>
      </c>
      <c r="M31" s="6"/>
    </row>
    <row r="32" spans="2:13">
      <c r="B32" s="38"/>
      <c r="C32" s="38"/>
      <c r="D32" s="22">
        <v>0.28213837000000003</v>
      </c>
      <c r="E32" s="22">
        <v>0.50598690999999996</v>
      </c>
      <c r="F32" s="22">
        <v>0.53053083999999995</v>
      </c>
      <c r="G32" s="22">
        <v>9.6301620000000004E-2</v>
      </c>
      <c r="I32" s="38"/>
      <c r="J32" s="38"/>
      <c r="K32" s="38"/>
      <c r="L32" s="20">
        <v>-7.9667753499999998</v>
      </c>
      <c r="M32" s="6"/>
    </row>
    <row r="33" spans="2:16">
      <c r="B33" s="38"/>
      <c r="C33" s="38"/>
      <c r="D33" s="22">
        <v>0.32607577999999998</v>
      </c>
      <c r="E33" s="22">
        <v>0.47236689999999998</v>
      </c>
      <c r="F33" s="22">
        <v>0.45319199999999998</v>
      </c>
      <c r="G33" s="22">
        <v>0.10588734</v>
      </c>
      <c r="I33" s="38"/>
      <c r="J33" s="38"/>
      <c r="K33" s="38"/>
      <c r="L33" s="20">
        <v>-6.7020892500000002</v>
      </c>
      <c r="M33" s="6"/>
    </row>
    <row r="34" spans="2:16">
      <c r="B34" s="38"/>
      <c r="C34" s="38"/>
      <c r="D34" s="22">
        <v>0.94838935999999996</v>
      </c>
      <c r="E34" s="22">
        <v>0.89451301000000005</v>
      </c>
      <c r="F34" s="22">
        <v>0.85163781999999999</v>
      </c>
      <c r="G34" s="22">
        <v>0.55219629000000003</v>
      </c>
      <c r="I34" s="38"/>
      <c r="J34" s="38"/>
      <c r="K34" s="38"/>
      <c r="L34" s="20">
        <v>-32.62566022</v>
      </c>
      <c r="M34" s="6"/>
    </row>
    <row r="35" spans="2:16">
      <c r="B35" s="38"/>
      <c r="C35" s="38"/>
      <c r="D35" s="22">
        <v>0.66495539000000004</v>
      </c>
      <c r="E35" s="22">
        <v>4.6566280000000002E-2</v>
      </c>
      <c r="F35" s="22">
        <v>0.11677746999999999</v>
      </c>
      <c r="G35" s="22">
        <v>0.79371778000000004</v>
      </c>
      <c r="I35" s="38"/>
      <c r="J35" s="38"/>
      <c r="K35" s="38"/>
      <c r="L35" s="20">
        <v>-19.989497929999999</v>
      </c>
      <c r="M35" s="6"/>
    </row>
    <row r="36" spans="2:16">
      <c r="B36" s="38"/>
      <c r="C36" s="38"/>
      <c r="D36" s="22">
        <v>0.57776561000000004</v>
      </c>
      <c r="E36" s="22">
        <v>0.42877174000000001</v>
      </c>
      <c r="F36" s="22">
        <v>0.42582587</v>
      </c>
      <c r="G36" s="22">
        <v>0.24900741000000001</v>
      </c>
      <c r="I36" s="38"/>
      <c r="J36" s="38"/>
      <c r="K36" s="38"/>
      <c r="L36" s="20">
        <v>-4.0255422799999998</v>
      </c>
      <c r="M36" s="6"/>
    </row>
    <row r="37" spans="2:16">
      <c r="B37" s="38"/>
      <c r="C37" s="38"/>
      <c r="D37" s="22">
        <v>0.73861301000000001</v>
      </c>
      <c r="E37" s="22">
        <v>0.48210262999999998</v>
      </c>
      <c r="F37" s="22">
        <v>0.70936644000000004</v>
      </c>
      <c r="G37" s="22">
        <v>0.50397000999999997</v>
      </c>
      <c r="I37" s="38"/>
      <c r="J37" s="38"/>
      <c r="K37" s="38"/>
      <c r="L37" s="20">
        <v>-13.12278233</v>
      </c>
      <c r="M37" s="6"/>
    </row>
    <row r="38" spans="2:16">
      <c r="B38" s="38"/>
      <c r="C38" s="38"/>
      <c r="D38" s="22">
        <v>0.85481079999999998</v>
      </c>
      <c r="E38" s="22">
        <v>0.49396462000000002</v>
      </c>
      <c r="F38" s="22">
        <v>0.73530996999999998</v>
      </c>
      <c r="G38" s="22">
        <v>0.80809200999999997</v>
      </c>
      <c r="I38" s="38"/>
      <c r="J38" s="38"/>
      <c r="K38" s="38"/>
      <c r="L38" s="20">
        <v>-23.1394284</v>
      </c>
      <c r="M38" s="6"/>
    </row>
    <row r="39" spans="2:16">
      <c r="B39" s="23" t="s">
        <v>4</v>
      </c>
      <c r="C39" s="23">
        <v>1</v>
      </c>
      <c r="D39" s="27">
        <v>0.5</v>
      </c>
      <c r="E39" s="27">
        <v>0.5</v>
      </c>
      <c r="F39" s="27">
        <v>0.5</v>
      </c>
      <c r="G39" s="27">
        <v>0.5</v>
      </c>
      <c r="I39" s="24" t="s">
        <v>4</v>
      </c>
      <c r="J39" s="24">
        <v>1</v>
      </c>
      <c r="K39" s="24"/>
      <c r="L39" s="26">
        <v>-3.98575096981028</v>
      </c>
      <c r="M39" s="24"/>
      <c r="N39" s="24"/>
      <c r="O39" s="24"/>
      <c r="P39" s="24"/>
    </row>
    <row r="40" spans="2:16" ht="43.8" customHeight="1">
      <c r="I40" s="19" t="s">
        <v>7</v>
      </c>
      <c r="J40" s="3">
        <v>0.8</v>
      </c>
      <c r="K40" s="3" t="s">
        <v>12</v>
      </c>
      <c r="L40" s="6"/>
      <c r="N40" s="21">
        <f>MAX(L9:L38,L39)</f>
        <v>-3.98575096981028</v>
      </c>
      <c r="O40" s="19" t="s">
        <v>23</v>
      </c>
      <c r="P40" s="29" t="b">
        <v>1</v>
      </c>
    </row>
    <row r="41" spans="2:16" ht="50.7" customHeight="1">
      <c r="I41" s="19" t="s">
        <v>15</v>
      </c>
      <c r="J41" s="3">
        <v>0.8</v>
      </c>
      <c r="K41" s="3" t="s">
        <v>12</v>
      </c>
      <c r="N41" s="21">
        <f>MAX(L9:L38,L39)</f>
        <v>-3.98575096981028</v>
      </c>
      <c r="O41" s="19" t="s">
        <v>36</v>
      </c>
    </row>
    <row r="42" spans="2:16">
      <c r="B42" s="23" t="s">
        <v>4</v>
      </c>
      <c r="C42" s="23">
        <v>2</v>
      </c>
      <c r="D42" s="27">
        <v>0.39419710000000002</v>
      </c>
      <c r="E42" s="27">
        <v>0.39469735</v>
      </c>
      <c r="F42" s="27">
        <v>0.39519759999999998</v>
      </c>
      <c r="G42" s="27">
        <v>0.39569785000000002</v>
      </c>
      <c r="I42" s="24" t="s">
        <v>4</v>
      </c>
      <c r="J42" s="24">
        <v>2</v>
      </c>
      <c r="K42" s="24"/>
      <c r="L42" s="26">
        <v>-3.1276999999999999E-2</v>
      </c>
      <c r="M42" s="24"/>
      <c r="N42" s="24"/>
      <c r="O42" s="24"/>
      <c r="P42" s="24"/>
    </row>
    <row r="43" spans="2:16" ht="48.3" customHeight="1">
      <c r="I43" s="19" t="s">
        <v>7</v>
      </c>
      <c r="J43" s="3">
        <v>0.2</v>
      </c>
      <c r="K43" s="3" t="s">
        <v>12</v>
      </c>
      <c r="N43" s="21">
        <f>MAX(N40,L42)</f>
        <v>-3.1276999999999999E-2</v>
      </c>
      <c r="O43" s="19" t="s">
        <v>47</v>
      </c>
    </row>
    <row r="44" spans="2:16" ht="43.2">
      <c r="I44" s="19" t="s">
        <v>46</v>
      </c>
      <c r="J44" s="3">
        <v>0.2</v>
      </c>
      <c r="K44" s="3" t="s">
        <v>12</v>
      </c>
      <c r="N44" s="21">
        <f>MAX(N40,L42)</f>
        <v>-3.1276999999999999E-2</v>
      </c>
      <c r="O44" s="19" t="s">
        <v>48</v>
      </c>
      <c r="P44" s="30" t="b">
        <v>1</v>
      </c>
    </row>
    <row r="45" spans="2:16">
      <c r="B45" s="23" t="s">
        <v>4</v>
      </c>
      <c r="C45" s="23">
        <v>3</v>
      </c>
      <c r="D45" s="27">
        <v>0.39419710000000002</v>
      </c>
      <c r="E45" s="27">
        <v>0.39469735</v>
      </c>
      <c r="F45" s="27">
        <v>0.39519759999999998</v>
      </c>
      <c r="G45" s="27">
        <v>0.39569785000000002</v>
      </c>
      <c r="I45" s="24" t="s">
        <v>4</v>
      </c>
      <c r="J45" s="24">
        <v>3</v>
      </c>
      <c r="K45" s="24"/>
      <c r="L45" s="26">
        <v>-3.1276999999999999E-2</v>
      </c>
      <c r="M45" s="24"/>
      <c r="N45" s="24"/>
      <c r="O45" s="24"/>
      <c r="P45" s="24"/>
    </row>
    <row r="46" spans="2:16" ht="38.1" customHeight="1">
      <c r="I46" s="19" t="s">
        <v>7</v>
      </c>
      <c r="J46" s="3">
        <v>0.95</v>
      </c>
      <c r="K46" s="3" t="s">
        <v>12</v>
      </c>
      <c r="N46" s="21">
        <f>MAX(N44,L45)</f>
        <v>-3.1276999999999999E-2</v>
      </c>
      <c r="O46" s="19" t="s">
        <v>47</v>
      </c>
      <c r="P46" s="29" t="b">
        <v>1</v>
      </c>
    </row>
    <row r="47" spans="2:16">
      <c r="B47" s="23" t="s">
        <v>4</v>
      </c>
      <c r="C47" s="23">
        <v>4</v>
      </c>
      <c r="D47" s="27">
        <v>0.37218600000000002</v>
      </c>
      <c r="E47" s="27">
        <v>0.37268600000000002</v>
      </c>
      <c r="F47" s="27">
        <v>0.37318699999999999</v>
      </c>
      <c r="G47" s="27">
        <v>0.37368699999999999</v>
      </c>
      <c r="I47" s="24" t="s">
        <v>4</v>
      </c>
      <c r="J47" s="24">
        <v>4</v>
      </c>
      <c r="K47" s="24"/>
      <c r="L47" s="26">
        <v>0.41890036608495901</v>
      </c>
      <c r="M47" s="24"/>
      <c r="N47" s="24"/>
      <c r="O47" s="24"/>
      <c r="P47" s="24"/>
    </row>
    <row r="48" spans="2:16" ht="47.7" customHeight="1">
      <c r="I48" s="19" t="s">
        <v>73</v>
      </c>
      <c r="J48" s="3">
        <v>0.8</v>
      </c>
      <c r="K48" s="3" t="s">
        <v>12</v>
      </c>
      <c r="N48" s="21">
        <f>MAX(N46,L47)</f>
        <v>0.41890036608495901</v>
      </c>
      <c r="O48" s="19" t="s">
        <v>74</v>
      </c>
      <c r="P48" s="29" t="b">
        <v>1</v>
      </c>
    </row>
    <row r="49" spans="2:16">
      <c r="B49" s="23" t="s">
        <v>4</v>
      </c>
      <c r="C49" s="23">
        <v>5</v>
      </c>
      <c r="D49" s="27">
        <v>0.34817399999999998</v>
      </c>
      <c r="E49" s="27">
        <v>0.34867399999999998</v>
      </c>
      <c r="F49" s="27">
        <v>0.34917399999999998</v>
      </c>
      <c r="G49" s="27">
        <v>0.34967399999999998</v>
      </c>
      <c r="I49" s="24" t="s">
        <v>4</v>
      </c>
      <c r="J49" s="24">
        <v>5</v>
      </c>
      <c r="K49" s="24"/>
      <c r="L49" s="26">
        <v>0.48991130991994303</v>
      </c>
      <c r="M49" s="24"/>
      <c r="N49" s="24"/>
      <c r="O49" s="24"/>
      <c r="P49" s="24"/>
    </row>
    <row r="50" spans="2:16" ht="38.700000000000003" customHeight="1">
      <c r="I50" s="19" t="s">
        <v>84</v>
      </c>
      <c r="J50" s="3">
        <v>0.5</v>
      </c>
      <c r="K50" s="3" t="s">
        <v>12</v>
      </c>
      <c r="N50" s="21">
        <f>MAX(N48,L49)</f>
        <v>0.48991130991994303</v>
      </c>
      <c r="O50" s="19" t="s">
        <v>86</v>
      </c>
      <c r="P50" s="32" t="b">
        <v>1</v>
      </c>
    </row>
  </sheetData>
  <mergeCells count="7">
    <mergeCell ref="B9:C38"/>
    <mergeCell ref="I9:K38"/>
    <mergeCell ref="B3:C3"/>
    <mergeCell ref="B4:C4"/>
    <mergeCell ref="B7:E7"/>
    <mergeCell ref="I7:L7"/>
    <mergeCell ref="B8:C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7A30-BB0A-4678-A75A-EF41DE76C694}">
  <dimension ref="B3:P40"/>
  <sheetViews>
    <sheetView topLeftCell="A19" zoomScale="80" zoomScaleNormal="80" workbookViewId="0">
      <selection activeCell="O40" sqref="O40"/>
    </sheetView>
  </sheetViews>
  <sheetFormatPr defaultRowHeight="14.4"/>
  <cols>
    <col min="2" max="2" width="11.734375" customWidth="1"/>
    <col min="3" max="3" width="12.05078125" customWidth="1"/>
    <col min="4" max="4" width="11.62890625" customWidth="1"/>
    <col min="5" max="7" width="11.89453125" customWidth="1"/>
    <col min="9" max="9" width="26.5234375" customWidth="1"/>
    <col min="10" max="10" width="17.15625" bestFit="1" customWidth="1"/>
    <col min="11" max="11" width="17.15625" customWidth="1"/>
    <col min="12" max="12" width="16" customWidth="1"/>
    <col min="13" max="13" width="10.7890625" customWidth="1"/>
    <col min="14" max="14" width="22.89453125" customWidth="1"/>
    <col min="15" max="15" width="26.1015625" customWidth="1"/>
    <col min="16" max="16" width="22.15625" customWidth="1"/>
  </cols>
  <sheetData>
    <row r="3" spans="2:16">
      <c r="B3" s="36" t="s">
        <v>0</v>
      </c>
      <c r="C3" s="37"/>
      <c r="D3" s="11">
        <v>4</v>
      </c>
    </row>
    <row r="4" spans="2:16">
      <c r="B4" s="34" t="s">
        <v>1</v>
      </c>
      <c r="C4" s="35"/>
      <c r="D4" s="12">
        <v>1</v>
      </c>
    </row>
    <row r="7" spans="2:16" ht="38.4" customHeight="1">
      <c r="B7" s="39" t="s">
        <v>3</v>
      </c>
      <c r="C7" s="39"/>
      <c r="D7" s="39"/>
      <c r="E7" s="39"/>
      <c r="F7" s="7"/>
      <c r="G7" s="7"/>
      <c r="I7" s="40" t="s">
        <v>5</v>
      </c>
      <c r="J7" s="40"/>
      <c r="K7" s="40"/>
      <c r="L7" s="40"/>
      <c r="M7" s="1"/>
      <c r="N7" s="14" t="s">
        <v>6</v>
      </c>
      <c r="O7" s="14" t="s">
        <v>16</v>
      </c>
      <c r="P7" s="14" t="s">
        <v>37</v>
      </c>
    </row>
    <row r="8" spans="2:16" ht="21.3">
      <c r="B8" s="41"/>
      <c r="C8" s="41"/>
      <c r="D8" s="16" t="s">
        <v>13</v>
      </c>
      <c r="E8" s="17" t="s">
        <v>14</v>
      </c>
      <c r="F8" s="16" t="s">
        <v>19</v>
      </c>
      <c r="G8" s="17" t="s">
        <v>22</v>
      </c>
      <c r="I8" s="8" t="s">
        <v>8</v>
      </c>
      <c r="J8" s="9" t="s">
        <v>9</v>
      </c>
      <c r="K8" s="15" t="s">
        <v>11</v>
      </c>
      <c r="L8" s="18" t="s">
        <v>10</v>
      </c>
      <c r="M8" s="1"/>
      <c r="N8" s="3"/>
    </row>
    <row r="9" spans="2:16">
      <c r="B9" s="38" t="s">
        <v>2</v>
      </c>
      <c r="C9" s="38"/>
      <c r="D9" s="22">
        <v>0.19144707999999999</v>
      </c>
      <c r="E9" s="22">
        <v>3.8193369999999997E-2</v>
      </c>
      <c r="F9" s="22">
        <v>0.60741780999999995</v>
      </c>
      <c r="G9" s="22">
        <v>0.41458413999999999</v>
      </c>
      <c r="I9" s="38" t="s">
        <v>2</v>
      </c>
      <c r="J9" s="38"/>
      <c r="K9" s="38"/>
      <c r="L9" s="20">
        <v>64.443439900000001</v>
      </c>
      <c r="M9" s="4"/>
    </row>
    <row r="10" spans="2:16">
      <c r="B10" s="38"/>
      <c r="C10" s="38"/>
      <c r="D10" s="22">
        <v>0.75865294999999999</v>
      </c>
      <c r="E10" s="22">
        <v>0.53651773999999997</v>
      </c>
      <c r="F10" s="22">
        <v>0.65600038000000005</v>
      </c>
      <c r="G10" s="22">
        <v>0.36034155000000001</v>
      </c>
      <c r="I10" s="38"/>
      <c r="J10" s="38"/>
      <c r="K10" s="38"/>
      <c r="L10" s="20">
        <v>18.301379600000001</v>
      </c>
      <c r="M10" s="4"/>
    </row>
    <row r="11" spans="2:16">
      <c r="B11" s="38"/>
      <c r="C11" s="38"/>
      <c r="D11" s="22">
        <v>0.43834986999999997</v>
      </c>
      <c r="E11" s="22">
        <v>0.80433969999999999</v>
      </c>
      <c r="F11" s="22">
        <v>0.21024527000000001</v>
      </c>
      <c r="G11" s="22">
        <v>0.15129482</v>
      </c>
      <c r="I11" s="38"/>
      <c r="J11" s="38"/>
      <c r="K11" s="38"/>
      <c r="L11" s="20">
        <v>0.112939795</v>
      </c>
      <c r="M11" s="4"/>
    </row>
    <row r="12" spans="2:16">
      <c r="B12" s="38"/>
      <c r="C12" s="38"/>
      <c r="D12" s="22">
        <v>0.70605083000000002</v>
      </c>
      <c r="E12" s="22">
        <v>0.53419196000000002</v>
      </c>
      <c r="F12" s="22">
        <v>0.26424334999999999</v>
      </c>
      <c r="G12" s="22">
        <v>0.48208754999999998</v>
      </c>
      <c r="I12" s="38"/>
      <c r="J12" s="38"/>
      <c r="K12" s="38"/>
      <c r="L12" s="20">
        <v>4.2108981300000004</v>
      </c>
      <c r="M12" s="6"/>
    </row>
    <row r="13" spans="2:16">
      <c r="B13" s="38"/>
      <c r="C13" s="38"/>
      <c r="D13" s="22">
        <v>0.83647799</v>
      </c>
      <c r="E13" s="22">
        <v>0.19360964999999999</v>
      </c>
      <c r="F13" s="22">
        <v>0.6638927</v>
      </c>
      <c r="G13" s="22">
        <v>0.78564887999999999</v>
      </c>
      <c r="I13" s="38"/>
      <c r="J13" s="38"/>
      <c r="K13" s="38"/>
      <c r="L13" s="20">
        <v>258.37052499999999</v>
      </c>
      <c r="M13" s="20"/>
    </row>
    <row r="14" spans="2:16">
      <c r="B14" s="38"/>
      <c r="C14" s="38"/>
      <c r="D14" s="22">
        <v>0.68343224999999996</v>
      </c>
      <c r="E14" s="22">
        <v>0.11866264</v>
      </c>
      <c r="F14" s="22">
        <v>0.82904591000000005</v>
      </c>
      <c r="G14" s="22">
        <v>0.56757661000000004</v>
      </c>
      <c r="I14" s="38"/>
      <c r="J14" s="38"/>
      <c r="K14" s="38"/>
      <c r="L14" s="20">
        <v>78.434388900000002</v>
      </c>
      <c r="M14" s="4"/>
    </row>
    <row r="15" spans="2:16">
      <c r="B15" s="38"/>
      <c r="C15" s="38"/>
      <c r="D15" s="22">
        <v>0.55362148</v>
      </c>
      <c r="E15" s="22">
        <v>0.66734998000000001</v>
      </c>
      <c r="F15" s="22">
        <v>0.32380582000000002</v>
      </c>
      <c r="G15" s="22">
        <v>0.81486974999999995</v>
      </c>
      <c r="I15" s="38"/>
      <c r="J15" s="38"/>
      <c r="K15" s="38"/>
      <c r="L15" s="20">
        <v>57.571536899999998</v>
      </c>
      <c r="M15" s="6"/>
    </row>
    <row r="16" spans="2:16">
      <c r="B16" s="38"/>
      <c r="C16" s="38"/>
      <c r="D16" s="22">
        <v>0.35235627000000003</v>
      </c>
      <c r="E16" s="22">
        <v>0.32224153</v>
      </c>
      <c r="F16" s="22">
        <v>0.11697937</v>
      </c>
      <c r="G16" s="22">
        <v>0.47311251999999998</v>
      </c>
      <c r="I16" s="38"/>
      <c r="J16" s="38"/>
      <c r="K16" s="38"/>
      <c r="L16" s="20">
        <v>109.571876</v>
      </c>
      <c r="M16" s="6"/>
    </row>
    <row r="17" spans="2:16">
      <c r="B17" s="38"/>
      <c r="C17" s="38"/>
      <c r="D17" s="22">
        <v>0.15378570999999999</v>
      </c>
      <c r="E17" s="22">
        <v>0.72938168999999997</v>
      </c>
      <c r="F17" s="22">
        <v>0.42259844000000002</v>
      </c>
      <c r="G17" s="22">
        <v>0.44307416999999999</v>
      </c>
      <c r="I17" s="38"/>
      <c r="J17" s="38"/>
      <c r="K17" s="38"/>
      <c r="L17" s="20">
        <v>8.8479917599999993</v>
      </c>
      <c r="M17" s="6"/>
    </row>
    <row r="18" spans="2:16">
      <c r="B18" s="38"/>
      <c r="C18" s="38"/>
      <c r="D18" s="22">
        <v>0.46344226999999999</v>
      </c>
      <c r="E18" s="22">
        <v>0.63002451000000004</v>
      </c>
      <c r="F18" s="22">
        <v>0.10790646</v>
      </c>
      <c r="G18" s="22">
        <v>0.95764389999999999</v>
      </c>
      <c r="I18" s="38"/>
      <c r="J18" s="38"/>
      <c r="K18" s="38"/>
      <c r="L18" s="20">
        <v>233.22361000000001</v>
      </c>
      <c r="M18" s="6"/>
    </row>
    <row r="19" spans="2:16">
      <c r="B19" s="38"/>
      <c r="C19" s="38"/>
      <c r="D19" s="22">
        <v>0.67749115000000004</v>
      </c>
      <c r="E19" s="22">
        <v>0.35850950999999998</v>
      </c>
      <c r="F19" s="22">
        <v>0.47959222000000001</v>
      </c>
      <c r="G19" s="22">
        <v>7.2880479999999997E-2</v>
      </c>
      <c r="I19" s="38"/>
      <c r="J19" s="38"/>
      <c r="K19" s="38"/>
      <c r="L19" s="20">
        <v>24.4230883</v>
      </c>
      <c r="M19" s="6"/>
    </row>
    <row r="20" spans="2:16">
      <c r="B20" s="38"/>
      <c r="C20" s="38"/>
      <c r="D20" s="22">
        <v>0.58397341000000003</v>
      </c>
      <c r="E20" s="22">
        <v>0.14724265</v>
      </c>
      <c r="F20" s="22">
        <v>0.34809746000000003</v>
      </c>
      <c r="G20" s="22">
        <v>0.42861464999999999</v>
      </c>
      <c r="I20" s="38"/>
      <c r="J20" s="38"/>
      <c r="K20" s="38"/>
      <c r="L20" s="20">
        <v>64.420146799999998</v>
      </c>
      <c r="M20" s="6"/>
    </row>
    <row r="21" spans="2:16">
      <c r="B21" s="38"/>
      <c r="C21" s="38"/>
      <c r="D21" s="22">
        <v>0.30688872</v>
      </c>
      <c r="E21" s="22">
        <v>0.31687812999999998</v>
      </c>
      <c r="F21" s="22">
        <v>0.62263447999999999</v>
      </c>
      <c r="G21" s="22">
        <v>9.5399059999999994E-2</v>
      </c>
      <c r="I21" s="38"/>
      <c r="J21" s="38"/>
      <c r="K21" s="38"/>
      <c r="L21" s="20">
        <v>63.476715800000001</v>
      </c>
      <c r="M21" s="6"/>
    </row>
    <row r="22" spans="2:16">
      <c r="B22" s="38"/>
      <c r="C22" s="38"/>
      <c r="D22" s="22">
        <v>0.51114177000000005</v>
      </c>
      <c r="E22" s="22">
        <v>0.81795700000000005</v>
      </c>
      <c r="F22" s="22">
        <v>0.72871041999999997</v>
      </c>
      <c r="G22" s="22">
        <v>0.11235362</v>
      </c>
      <c r="I22" s="38"/>
      <c r="J22" s="38"/>
      <c r="K22" s="38"/>
      <c r="L22" s="20">
        <v>79.729129900000004</v>
      </c>
      <c r="M22" s="6"/>
    </row>
    <row r="23" spans="2:16">
      <c r="B23" s="38"/>
      <c r="C23" s="38"/>
      <c r="D23" s="22">
        <v>0.43893337999999998</v>
      </c>
      <c r="E23" s="22">
        <v>0.77409176000000002</v>
      </c>
      <c r="F23" s="22">
        <v>0.37816708999999998</v>
      </c>
      <c r="G23" s="22">
        <v>0.93369621000000003</v>
      </c>
      <c r="I23" s="38"/>
      <c r="J23" s="38"/>
      <c r="K23" s="38"/>
      <c r="L23" s="20">
        <v>355.80681800000002</v>
      </c>
      <c r="M23" s="6"/>
    </row>
    <row r="24" spans="2:16">
      <c r="B24" s="38"/>
      <c r="C24" s="38"/>
      <c r="D24" s="22">
        <v>0.22418901999999999</v>
      </c>
      <c r="E24" s="22">
        <v>0.84648049000000003</v>
      </c>
      <c r="F24" s="22">
        <v>0.87948417999999995</v>
      </c>
      <c r="G24" s="22">
        <v>0.87851568000000002</v>
      </c>
      <c r="I24" s="38"/>
      <c r="J24" s="38"/>
      <c r="K24" s="38"/>
      <c r="L24" s="20">
        <v>1088.8596199999999</v>
      </c>
      <c r="M24" s="6"/>
    </row>
    <row r="25" spans="2:16">
      <c r="B25" s="38"/>
      <c r="C25" s="38"/>
      <c r="D25" s="22">
        <v>0.72526172</v>
      </c>
      <c r="E25" s="22">
        <v>0.47987048999999998</v>
      </c>
      <c r="F25" s="22">
        <v>8.8946839999999999E-2</v>
      </c>
      <c r="G25" s="22">
        <v>0.75976021999999999</v>
      </c>
      <c r="I25" s="38"/>
      <c r="J25" s="38"/>
      <c r="K25" s="38"/>
      <c r="L25" s="20">
        <v>28.866751600000001</v>
      </c>
      <c r="M25" s="6"/>
    </row>
    <row r="26" spans="2:16">
      <c r="B26" s="38"/>
      <c r="C26" s="38"/>
      <c r="D26" s="22">
        <v>0.35548161</v>
      </c>
      <c r="E26" s="22">
        <v>0.63961937000000002</v>
      </c>
      <c r="F26" s="22">
        <v>0.41761767999999999</v>
      </c>
      <c r="G26" s="22">
        <v>0.12260384000000001</v>
      </c>
      <c r="I26" s="38"/>
      <c r="J26" s="38"/>
      <c r="K26" s="38"/>
      <c r="L26" s="20">
        <v>45.181570299999997</v>
      </c>
      <c r="M26" s="6"/>
    </row>
    <row r="27" spans="2:16">
      <c r="B27" s="38"/>
      <c r="C27" s="38"/>
      <c r="D27" s="22">
        <v>0.11987923</v>
      </c>
      <c r="E27" s="22">
        <v>0.86254030999999998</v>
      </c>
      <c r="F27" s="22">
        <v>0.64333132999999998</v>
      </c>
      <c r="G27" s="22">
        <v>0.84980383000000004</v>
      </c>
      <c r="I27" s="38"/>
      <c r="J27" s="38"/>
      <c r="K27" s="38"/>
      <c r="L27" s="20">
        <v>431.61275699999999</v>
      </c>
      <c r="M27" s="6"/>
    </row>
    <row r="28" spans="2:16">
      <c r="B28" s="38"/>
      <c r="C28" s="38"/>
      <c r="D28" s="22">
        <v>0.12688467</v>
      </c>
      <c r="E28" s="22">
        <v>0.15342961999999999</v>
      </c>
      <c r="F28" s="22">
        <v>0.77016218999999997</v>
      </c>
      <c r="G28" s="22">
        <v>0.19051810999999999</v>
      </c>
      <c r="I28" s="38"/>
      <c r="J28" s="38"/>
      <c r="K28" s="38"/>
      <c r="L28" s="20">
        <v>9.9723318899999995</v>
      </c>
      <c r="M28" s="6"/>
    </row>
    <row r="29" spans="2:16">
      <c r="B29" s="23" t="s">
        <v>4</v>
      </c>
      <c r="C29" s="23">
        <v>1</v>
      </c>
      <c r="D29" s="27">
        <v>0.5</v>
      </c>
      <c r="E29" s="27">
        <v>0.5</v>
      </c>
      <c r="F29" s="27">
        <v>0.5</v>
      </c>
      <c r="G29" s="27">
        <v>0.5</v>
      </c>
      <c r="I29" s="24" t="s">
        <v>4</v>
      </c>
      <c r="J29" s="24">
        <v>1</v>
      </c>
      <c r="K29" s="24"/>
      <c r="L29" s="26">
        <v>32.002499999999998</v>
      </c>
      <c r="M29" s="24"/>
      <c r="N29" s="24"/>
      <c r="O29" s="24"/>
      <c r="P29" s="24"/>
    </row>
    <row r="30" spans="2:16" ht="38.4" customHeight="1">
      <c r="I30" s="19" t="s">
        <v>7</v>
      </c>
      <c r="J30" s="3">
        <v>0.99</v>
      </c>
      <c r="K30" s="3" t="s">
        <v>12</v>
      </c>
      <c r="L30" s="6"/>
      <c r="N30" s="21">
        <f>MAX(L9:L28,L29)</f>
        <v>1088.8596199999999</v>
      </c>
      <c r="O30" s="19" t="s">
        <v>24</v>
      </c>
      <c r="P30" s="29" t="b">
        <v>1</v>
      </c>
    </row>
    <row r="31" spans="2:16" ht="44.4" customHeight="1">
      <c r="I31" s="19" t="s">
        <v>15</v>
      </c>
      <c r="J31" s="3">
        <v>0.99</v>
      </c>
      <c r="K31" s="3" t="s">
        <v>12</v>
      </c>
      <c r="N31" s="21">
        <f>MAX(L9:L28,L29)</f>
        <v>1088.8596199999999</v>
      </c>
      <c r="O31" s="19" t="s">
        <v>25</v>
      </c>
    </row>
    <row r="32" spans="2:16">
      <c r="B32" s="23" t="s">
        <v>4</v>
      </c>
      <c r="C32" s="23">
        <v>2</v>
      </c>
      <c r="D32" s="27">
        <v>0.99849924999999995</v>
      </c>
      <c r="E32" s="27">
        <v>0.99899950000000004</v>
      </c>
      <c r="F32" s="27">
        <v>0.99949975000000002</v>
      </c>
      <c r="G32" s="27">
        <v>1</v>
      </c>
      <c r="I32" s="24" t="s">
        <v>4</v>
      </c>
      <c r="J32" s="24">
        <v>2</v>
      </c>
      <c r="K32" s="24"/>
      <c r="L32" s="26">
        <v>8604.5365110000002</v>
      </c>
      <c r="M32" s="24"/>
      <c r="N32" s="24"/>
      <c r="O32" s="24"/>
      <c r="P32" s="24"/>
    </row>
    <row r="33" spans="2:16" ht="37.200000000000003" customHeight="1">
      <c r="I33" s="19" t="s">
        <v>7</v>
      </c>
      <c r="J33" s="3">
        <v>0.1</v>
      </c>
      <c r="K33" s="3" t="s">
        <v>12</v>
      </c>
      <c r="N33" s="21">
        <f>MAX(N30,L32)</f>
        <v>8604.5365110000002</v>
      </c>
      <c r="O33" s="19" t="s">
        <v>54</v>
      </c>
      <c r="P33" s="29" t="b">
        <v>1</v>
      </c>
    </row>
    <row r="34" spans="2:16" ht="37.5" customHeight="1">
      <c r="I34" s="19" t="s">
        <v>15</v>
      </c>
      <c r="J34" s="3">
        <v>0.1</v>
      </c>
      <c r="K34" s="19" t="s">
        <v>12</v>
      </c>
      <c r="N34" s="21">
        <f>MAX(N30,L32)</f>
        <v>8604.5365110000002</v>
      </c>
      <c r="O34" s="19" t="s">
        <v>54</v>
      </c>
      <c r="P34" s="5"/>
    </row>
    <row r="35" spans="2:16">
      <c r="B35" s="23" t="s">
        <v>4</v>
      </c>
      <c r="C35" s="23">
        <v>3</v>
      </c>
      <c r="D35" s="27">
        <v>0.99849924999999995</v>
      </c>
      <c r="E35" s="27">
        <v>0.99899950000000004</v>
      </c>
      <c r="F35" s="27">
        <v>0.99949975000000002</v>
      </c>
      <c r="G35" s="27">
        <v>1</v>
      </c>
      <c r="I35" s="24" t="s">
        <v>4</v>
      </c>
      <c r="J35" s="24">
        <v>3</v>
      </c>
      <c r="K35" s="24"/>
      <c r="L35" s="26">
        <v>8604.5365110000002</v>
      </c>
      <c r="M35" s="24"/>
      <c r="N35" s="24"/>
      <c r="O35" s="24"/>
      <c r="P35" s="24"/>
    </row>
    <row r="36" spans="2:16" ht="28.8">
      <c r="I36" s="19" t="s">
        <v>58</v>
      </c>
      <c r="N36" s="21">
        <f>MAX(N33,L35)</f>
        <v>8604.5365110000002</v>
      </c>
      <c r="O36" s="19" t="s">
        <v>59</v>
      </c>
      <c r="P36" s="32" t="b">
        <v>1</v>
      </c>
    </row>
    <row r="37" spans="2:16">
      <c r="B37" s="23" t="s">
        <v>4</v>
      </c>
      <c r="C37" s="23">
        <v>4</v>
      </c>
      <c r="D37" s="27">
        <v>1</v>
      </c>
      <c r="E37" s="27">
        <v>1</v>
      </c>
      <c r="F37" s="27">
        <v>1</v>
      </c>
      <c r="G37" s="27">
        <v>1</v>
      </c>
      <c r="I37" s="24" t="s">
        <v>4</v>
      </c>
      <c r="J37" s="24">
        <v>4</v>
      </c>
      <c r="K37" s="24"/>
      <c r="L37" s="26">
        <v>8662.4825000000001</v>
      </c>
      <c r="M37" s="24"/>
      <c r="N37" s="24"/>
      <c r="O37" s="24"/>
      <c r="P37" s="24"/>
    </row>
    <row r="38" spans="2:16" ht="28.8">
      <c r="I38" s="19" t="s">
        <v>58</v>
      </c>
      <c r="N38" s="21">
        <f>MAX(N36,L37)</f>
        <v>8662.4825000000001</v>
      </c>
      <c r="O38" s="19" t="s">
        <v>75</v>
      </c>
      <c r="P38" s="29" t="b">
        <v>1</v>
      </c>
    </row>
    <row r="39" spans="2:16">
      <c r="B39" s="23" t="s">
        <v>4</v>
      </c>
      <c r="C39" s="23">
        <v>5</v>
      </c>
      <c r="D39" s="27">
        <v>0.92</v>
      </c>
      <c r="E39" s="27">
        <v>0.92</v>
      </c>
      <c r="F39" s="27">
        <v>0.92</v>
      </c>
      <c r="G39" s="27">
        <v>0.92</v>
      </c>
      <c r="I39" s="24" t="s">
        <v>4</v>
      </c>
      <c r="J39" s="24">
        <v>5</v>
      </c>
      <c r="K39" s="24"/>
      <c r="L39" s="26">
        <v>4033.8785716173202</v>
      </c>
      <c r="M39" s="24"/>
      <c r="N39" s="24"/>
      <c r="O39" s="24"/>
      <c r="P39" s="24"/>
    </row>
    <row r="40" spans="2:16" ht="43.2">
      <c r="I40" s="19" t="s">
        <v>46</v>
      </c>
      <c r="J40" s="3">
        <v>0.95</v>
      </c>
      <c r="K40" s="3" t="s">
        <v>12</v>
      </c>
      <c r="N40" s="21">
        <f>MAX(N38,L39)</f>
        <v>8662.4825000000001</v>
      </c>
      <c r="O40" s="19" t="s">
        <v>87</v>
      </c>
      <c r="P40" s="32" t="b">
        <v>1</v>
      </c>
    </row>
  </sheetData>
  <mergeCells count="7">
    <mergeCell ref="B9:C28"/>
    <mergeCell ref="I9:K28"/>
    <mergeCell ref="B3:C3"/>
    <mergeCell ref="B4:C4"/>
    <mergeCell ref="B7:E7"/>
    <mergeCell ref="I7:L7"/>
    <mergeCell ref="B8:C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910E-E097-46FF-B069-9F3B8C7F2915}">
  <dimension ref="B3:Q41"/>
  <sheetViews>
    <sheetView topLeftCell="A13" zoomScale="80" zoomScaleNormal="80" workbookViewId="0">
      <selection activeCell="P41" sqref="P41"/>
    </sheetView>
  </sheetViews>
  <sheetFormatPr defaultRowHeight="14.4"/>
  <cols>
    <col min="2" max="2" width="11.734375" customWidth="1"/>
    <col min="3" max="3" width="12.05078125" customWidth="1"/>
    <col min="4" max="4" width="11.62890625" customWidth="1"/>
    <col min="5" max="8" width="11.89453125" customWidth="1"/>
    <col min="10" max="10" width="26.5234375" customWidth="1"/>
    <col min="11" max="11" width="17.15625" bestFit="1" customWidth="1"/>
    <col min="12" max="12" width="17.15625" customWidth="1"/>
    <col min="13" max="13" width="16" customWidth="1"/>
    <col min="14" max="14" width="10.7890625" customWidth="1"/>
    <col min="15" max="15" width="22.89453125" customWidth="1"/>
    <col min="16" max="16" width="24.7890625" customWidth="1"/>
    <col min="17" max="17" width="22.15625" customWidth="1"/>
  </cols>
  <sheetData>
    <row r="3" spans="2:17">
      <c r="B3" s="36" t="s">
        <v>0</v>
      </c>
      <c r="C3" s="37"/>
      <c r="D3" s="11">
        <v>5</v>
      </c>
    </row>
    <row r="4" spans="2:17">
      <c r="B4" s="34" t="s">
        <v>1</v>
      </c>
      <c r="C4" s="35"/>
      <c r="D4" s="12">
        <v>1</v>
      </c>
    </row>
    <row r="7" spans="2:17" ht="38.4" customHeight="1">
      <c r="B7" s="39" t="s">
        <v>3</v>
      </c>
      <c r="C7" s="39"/>
      <c r="D7" s="39"/>
      <c r="E7" s="39"/>
      <c r="F7" s="7"/>
      <c r="G7" s="7"/>
      <c r="H7" s="7"/>
      <c r="J7" s="40" t="s">
        <v>5</v>
      </c>
      <c r="K7" s="40"/>
      <c r="L7" s="40"/>
      <c r="M7" s="40"/>
      <c r="N7" s="1"/>
      <c r="O7" s="14" t="s">
        <v>6</v>
      </c>
      <c r="P7" s="14" t="s">
        <v>16</v>
      </c>
      <c r="Q7" s="14" t="s">
        <v>37</v>
      </c>
    </row>
    <row r="8" spans="2:17" ht="21.3">
      <c r="B8" s="41"/>
      <c r="C8" s="41"/>
      <c r="D8" s="16" t="s">
        <v>13</v>
      </c>
      <c r="E8" s="17" t="s">
        <v>14</v>
      </c>
      <c r="F8" s="16" t="s">
        <v>19</v>
      </c>
      <c r="G8" s="17" t="s">
        <v>22</v>
      </c>
      <c r="H8" s="16" t="s">
        <v>26</v>
      </c>
      <c r="J8" s="8" t="s">
        <v>8</v>
      </c>
      <c r="K8" s="9" t="s">
        <v>9</v>
      </c>
      <c r="L8" s="15" t="s">
        <v>11</v>
      </c>
      <c r="M8" s="18" t="s">
        <v>10</v>
      </c>
      <c r="N8" s="1"/>
      <c r="O8" s="3"/>
    </row>
    <row r="9" spans="2:17">
      <c r="B9" s="38" t="s">
        <v>2</v>
      </c>
      <c r="C9" s="38"/>
      <c r="D9" s="22">
        <v>0.72818609999999995</v>
      </c>
      <c r="E9" s="22">
        <v>0.15469257</v>
      </c>
      <c r="F9" s="22">
        <v>0.73255166999999999</v>
      </c>
      <c r="G9" s="22">
        <v>0.69399650999999996</v>
      </c>
      <c r="H9" s="22">
        <v>5.6401310000000003E-2</v>
      </c>
      <c r="J9" s="38" t="s">
        <v>2</v>
      </c>
      <c r="K9" s="38"/>
      <c r="L9" s="38"/>
      <c r="M9" s="20">
        <v>-0.71426495000000001</v>
      </c>
      <c r="N9" s="4"/>
    </row>
    <row r="10" spans="2:17">
      <c r="B10" s="38"/>
      <c r="C10" s="38"/>
      <c r="D10" s="22">
        <v>0.24238435</v>
      </c>
      <c r="E10" s="22">
        <v>0.84409997000000003</v>
      </c>
      <c r="F10" s="22">
        <v>0.57780909999999996</v>
      </c>
      <c r="G10" s="22">
        <v>0.67902127999999995</v>
      </c>
      <c r="H10" s="22">
        <v>0.50195288999999998</v>
      </c>
      <c r="J10" s="38"/>
      <c r="K10" s="38"/>
      <c r="L10" s="38"/>
      <c r="M10" s="20">
        <v>-1.20995524</v>
      </c>
      <c r="N10" s="4"/>
    </row>
    <row r="11" spans="2:17">
      <c r="B11" s="38"/>
      <c r="C11" s="38"/>
      <c r="D11" s="22">
        <v>0.72952260999999996</v>
      </c>
      <c r="E11" s="22">
        <v>0.74810620000000005</v>
      </c>
      <c r="F11" s="22">
        <v>0.67977463999999999</v>
      </c>
      <c r="G11" s="22">
        <v>0.35655228</v>
      </c>
      <c r="H11" s="22">
        <v>0.67105367999999999</v>
      </c>
      <c r="J11" s="38"/>
      <c r="K11" s="38"/>
      <c r="L11" s="38"/>
      <c r="M11" s="20">
        <v>-1.6721999400000001</v>
      </c>
      <c r="N11" s="4"/>
    </row>
    <row r="12" spans="2:17">
      <c r="B12" s="38"/>
      <c r="C12" s="38"/>
      <c r="D12" s="22">
        <v>0.77062023999999996</v>
      </c>
      <c r="E12" s="22">
        <v>0.11440374</v>
      </c>
      <c r="F12" s="22">
        <v>4.6779929999999997E-2</v>
      </c>
      <c r="G12" s="22">
        <v>0.64832427999999998</v>
      </c>
      <c r="H12" s="22">
        <v>0.27354905000000002</v>
      </c>
      <c r="J12" s="38"/>
      <c r="K12" s="38"/>
      <c r="L12" s="38"/>
      <c r="M12" s="20">
        <v>-1.5360577099999999</v>
      </c>
      <c r="N12" s="6"/>
    </row>
    <row r="13" spans="2:17">
      <c r="B13" s="38"/>
      <c r="C13" s="38"/>
      <c r="D13" s="22">
        <v>0.61881229999999998</v>
      </c>
      <c r="E13" s="22">
        <v>0.33180214000000002</v>
      </c>
      <c r="F13" s="22">
        <v>0.18728787</v>
      </c>
      <c r="G13" s="22">
        <v>0.75623847</v>
      </c>
      <c r="H13" s="22">
        <v>0.32883479999999998</v>
      </c>
      <c r="J13" s="38"/>
      <c r="K13" s="38"/>
      <c r="L13" s="38"/>
      <c r="M13" s="20">
        <v>-0.82923654999999996</v>
      </c>
      <c r="N13" s="20"/>
    </row>
    <row r="14" spans="2:17">
      <c r="B14" s="38"/>
      <c r="C14" s="38"/>
      <c r="D14" s="22">
        <v>0.78495809000000005</v>
      </c>
      <c r="E14" s="22">
        <v>0.91068234999999997</v>
      </c>
      <c r="F14" s="22">
        <v>0.70812010000000003</v>
      </c>
      <c r="G14" s="22">
        <v>0.95922543000000005</v>
      </c>
      <c r="H14" s="22">
        <v>4.9115000000000001E-3</v>
      </c>
      <c r="J14" s="38"/>
      <c r="K14" s="38"/>
      <c r="L14" s="38"/>
      <c r="M14" s="20">
        <v>-1.2470489300000001</v>
      </c>
      <c r="N14" s="4"/>
    </row>
    <row r="15" spans="2:17">
      <c r="B15" s="38"/>
      <c r="C15" s="38"/>
      <c r="D15" s="22">
        <v>0.14511078999999999</v>
      </c>
      <c r="E15" s="22">
        <v>0.89668460000000005</v>
      </c>
      <c r="F15" s="22">
        <v>0.89632223</v>
      </c>
      <c r="G15" s="22">
        <v>0.72627154000000005</v>
      </c>
      <c r="H15" s="22">
        <v>0.23627198999999999</v>
      </c>
      <c r="J15" s="38"/>
      <c r="K15" s="38"/>
      <c r="L15" s="38"/>
      <c r="M15" s="20">
        <v>-1.23378638</v>
      </c>
      <c r="N15" s="6"/>
    </row>
    <row r="16" spans="2:17">
      <c r="B16" s="38"/>
      <c r="C16" s="38"/>
      <c r="D16" s="22">
        <v>0.94506906999999996</v>
      </c>
      <c r="E16" s="22">
        <v>0.28845904999999999</v>
      </c>
      <c r="F16" s="22">
        <v>0.97880575999999997</v>
      </c>
      <c r="G16" s="22">
        <v>0.96165559</v>
      </c>
      <c r="H16" s="22">
        <v>0.59801594000000002</v>
      </c>
      <c r="J16" s="38"/>
      <c r="K16" s="38"/>
      <c r="L16" s="38"/>
      <c r="M16" s="20">
        <v>-1.6943434399999999</v>
      </c>
      <c r="N16" s="6"/>
    </row>
    <row r="17" spans="2:17">
      <c r="B17" s="38"/>
      <c r="C17" s="38"/>
      <c r="D17" s="22">
        <v>0.12572016</v>
      </c>
      <c r="E17" s="22">
        <v>0.86272468999999996</v>
      </c>
      <c r="F17" s="22">
        <v>2.854433E-2</v>
      </c>
      <c r="G17" s="22">
        <v>0.24660526999999999</v>
      </c>
      <c r="H17" s="22">
        <v>0.75120624000000003</v>
      </c>
      <c r="J17" s="38"/>
      <c r="K17" s="38"/>
      <c r="L17" s="38"/>
      <c r="M17" s="20">
        <v>-2.57116963</v>
      </c>
      <c r="N17" s="6"/>
    </row>
    <row r="18" spans="2:17">
      <c r="B18" s="38"/>
      <c r="C18" s="38"/>
      <c r="D18" s="22">
        <v>0.75759436000000002</v>
      </c>
      <c r="E18" s="22">
        <v>0.35583141000000001</v>
      </c>
      <c r="F18" s="22">
        <v>1.65229E-2</v>
      </c>
      <c r="G18" s="22">
        <v>0.43420720000000002</v>
      </c>
      <c r="H18" s="22">
        <v>0.11243304</v>
      </c>
      <c r="J18" s="38"/>
      <c r="K18" s="38"/>
      <c r="L18" s="38"/>
      <c r="M18" s="20">
        <v>-1.30911635</v>
      </c>
      <c r="N18" s="6"/>
    </row>
    <row r="19" spans="2:17">
      <c r="B19" s="38"/>
      <c r="C19" s="38"/>
      <c r="D19" s="22">
        <v>0.53679690000000002</v>
      </c>
      <c r="E19" s="22">
        <v>0.30878091000000002</v>
      </c>
      <c r="F19" s="22">
        <v>0.41187929000000001</v>
      </c>
      <c r="G19" s="22">
        <v>0.38822518</v>
      </c>
      <c r="H19" s="22">
        <v>0.52252829999999995</v>
      </c>
      <c r="J19" s="38"/>
      <c r="K19" s="38"/>
      <c r="L19" s="38"/>
      <c r="M19" s="20">
        <v>-1.14478485</v>
      </c>
      <c r="N19" s="6"/>
    </row>
    <row r="20" spans="2:17">
      <c r="B20" s="38"/>
      <c r="C20" s="38"/>
      <c r="D20" s="22">
        <v>0.95773967000000004</v>
      </c>
      <c r="E20" s="22">
        <v>0.23566856999999999</v>
      </c>
      <c r="F20" s="22">
        <v>9.9145849999999994E-2</v>
      </c>
      <c r="G20" s="22">
        <v>0.15680593000000001</v>
      </c>
      <c r="H20" s="22">
        <v>7.1317370000000005E-2</v>
      </c>
      <c r="J20" s="38"/>
      <c r="K20" s="38"/>
      <c r="L20" s="38"/>
      <c r="M20" s="20">
        <v>-1.91267714</v>
      </c>
      <c r="N20" s="6"/>
    </row>
    <row r="21" spans="2:17">
      <c r="B21" s="38"/>
      <c r="C21" s="38"/>
      <c r="D21" s="22">
        <v>0.62930790000000003</v>
      </c>
      <c r="E21" s="22">
        <v>0.80348368000000003</v>
      </c>
      <c r="F21" s="22">
        <v>0.81140844000000001</v>
      </c>
      <c r="G21" s="22">
        <v>4.5613189999999998E-2</v>
      </c>
      <c r="H21" s="22">
        <v>0.11062445999999999</v>
      </c>
      <c r="J21" s="38"/>
      <c r="K21" s="38"/>
      <c r="L21" s="38"/>
      <c r="M21" s="20">
        <v>-1.62283895</v>
      </c>
      <c r="N21" s="6"/>
    </row>
    <row r="22" spans="2:17">
      <c r="B22" s="38"/>
      <c r="C22" s="38"/>
      <c r="D22" s="22">
        <v>2.1735310000000001E-2</v>
      </c>
      <c r="E22" s="22">
        <v>0.42808424</v>
      </c>
      <c r="F22" s="22">
        <v>0.83593943999999998</v>
      </c>
      <c r="G22" s="22">
        <v>0.48948866000000002</v>
      </c>
      <c r="H22" s="22">
        <v>0.51108173000000001</v>
      </c>
      <c r="J22" s="38"/>
      <c r="K22" s="38"/>
      <c r="L22" s="38"/>
      <c r="M22" s="20">
        <v>-1.3566821099999999</v>
      </c>
      <c r="N22" s="6"/>
    </row>
    <row r="23" spans="2:17">
      <c r="B23" s="38"/>
      <c r="C23" s="38"/>
      <c r="D23" s="22">
        <v>0.43934425999999999</v>
      </c>
      <c r="E23" s="22">
        <v>0.69892383000000002</v>
      </c>
      <c r="F23" s="22">
        <v>0.42682021999999997</v>
      </c>
      <c r="G23" s="22">
        <v>0.10947609</v>
      </c>
      <c r="H23" s="22">
        <v>0.87788847000000003</v>
      </c>
      <c r="J23" s="38"/>
      <c r="K23" s="38"/>
      <c r="L23" s="38"/>
      <c r="M23" s="20">
        <v>-2.0184253999999999</v>
      </c>
      <c r="N23" s="6"/>
    </row>
    <row r="24" spans="2:17">
      <c r="B24" s="38"/>
      <c r="C24" s="38"/>
      <c r="D24" s="22">
        <v>0.25890556999999997</v>
      </c>
      <c r="E24" s="22">
        <v>0.79367770999999998</v>
      </c>
      <c r="F24" s="22">
        <v>0.64211390000000002</v>
      </c>
      <c r="G24" s="22">
        <v>0.19667345999999999</v>
      </c>
      <c r="H24" s="22">
        <v>0.59310317999999995</v>
      </c>
      <c r="J24" s="38"/>
      <c r="K24" s="38"/>
      <c r="L24" s="38"/>
      <c r="M24" s="20">
        <v>-1.7025578400000001</v>
      </c>
      <c r="N24" s="6"/>
    </row>
    <row r="25" spans="2:17">
      <c r="B25" s="38"/>
      <c r="C25" s="38"/>
      <c r="D25" s="22">
        <v>0.43216592999999998</v>
      </c>
      <c r="E25" s="22">
        <v>0.71561781000000002</v>
      </c>
      <c r="F25" s="22">
        <v>0.34181909999999999</v>
      </c>
      <c r="G25" s="22">
        <v>0.70499988000000002</v>
      </c>
      <c r="H25" s="22">
        <v>0.61496183999999998</v>
      </c>
      <c r="J25" s="38"/>
      <c r="K25" s="38"/>
      <c r="L25" s="38"/>
      <c r="M25" s="20">
        <v>-1.2942469599999999</v>
      </c>
      <c r="N25" s="6"/>
    </row>
    <row r="26" spans="2:17">
      <c r="B26" s="38"/>
      <c r="C26" s="38"/>
      <c r="D26" s="22">
        <v>0.78287982</v>
      </c>
      <c r="E26" s="22">
        <v>0.53633586</v>
      </c>
      <c r="F26" s="22">
        <v>0.44328356000000002</v>
      </c>
      <c r="G26" s="22">
        <v>0.85969983000000005</v>
      </c>
      <c r="H26" s="22">
        <v>1.032599E-2</v>
      </c>
      <c r="J26" s="38"/>
      <c r="K26" s="38"/>
      <c r="L26" s="38"/>
      <c r="M26" s="20">
        <v>-0.93575655999999996</v>
      </c>
      <c r="N26" s="6"/>
    </row>
    <row r="27" spans="2:17">
      <c r="B27" s="38"/>
      <c r="C27" s="38"/>
      <c r="D27" s="22">
        <v>0.92177620000000005</v>
      </c>
      <c r="E27" s="22">
        <v>0.93187122</v>
      </c>
      <c r="F27" s="22">
        <v>0.41487636999999999</v>
      </c>
      <c r="G27" s="22">
        <v>0.59505726999999997</v>
      </c>
      <c r="H27" s="22">
        <v>0.73562569</v>
      </c>
      <c r="J27" s="38"/>
      <c r="K27" s="38"/>
      <c r="L27" s="38"/>
      <c r="M27" s="20">
        <v>-2.1557677599999998</v>
      </c>
      <c r="N27" s="6"/>
    </row>
    <row r="28" spans="2:17">
      <c r="B28" s="38"/>
      <c r="C28" s="38"/>
      <c r="D28" s="22">
        <v>0.12667892</v>
      </c>
      <c r="E28" s="22">
        <v>0.29147030000000002</v>
      </c>
      <c r="F28" s="22">
        <v>6.4528479999999999E-2</v>
      </c>
      <c r="G28" s="22">
        <v>0.68051459999999997</v>
      </c>
      <c r="H28" s="22">
        <v>0.89281918999999998</v>
      </c>
      <c r="J28" s="38"/>
      <c r="K28" s="38"/>
      <c r="L28" s="38"/>
      <c r="M28" s="20">
        <v>-1.7468820899999999</v>
      </c>
      <c r="N28" s="6"/>
    </row>
    <row r="29" spans="2:17">
      <c r="B29" s="23" t="s">
        <v>4</v>
      </c>
      <c r="C29" s="23">
        <v>1</v>
      </c>
      <c r="D29" s="27">
        <v>0.5</v>
      </c>
      <c r="E29" s="27">
        <v>0.5</v>
      </c>
      <c r="F29" s="27">
        <v>0.5</v>
      </c>
      <c r="G29" s="27">
        <v>0.5</v>
      </c>
      <c r="H29" s="27">
        <v>0.5</v>
      </c>
      <c r="J29" s="24" t="s">
        <v>4</v>
      </c>
      <c r="K29" s="24">
        <v>1</v>
      </c>
      <c r="L29" s="24"/>
      <c r="M29" s="26">
        <v>-1.0363008346509499</v>
      </c>
      <c r="N29" s="24"/>
      <c r="O29" s="24"/>
      <c r="P29" s="24"/>
      <c r="Q29" s="24"/>
    </row>
    <row r="30" spans="2:17" ht="45.9" customHeight="1">
      <c r="J30" s="19" t="s">
        <v>7</v>
      </c>
      <c r="K30" s="3">
        <v>0.99</v>
      </c>
      <c r="L30" s="3" t="s">
        <v>12</v>
      </c>
      <c r="M30" s="6"/>
      <c r="O30" s="21">
        <f>MAX(M9:M28,M29)</f>
        <v>-0.71426495000000001</v>
      </c>
      <c r="P30" s="19" t="s">
        <v>27</v>
      </c>
      <c r="Q30" s="29" t="b">
        <v>1</v>
      </c>
    </row>
    <row r="31" spans="2:17" ht="43.8" customHeight="1">
      <c r="J31" s="19" t="s">
        <v>15</v>
      </c>
      <c r="K31" s="3">
        <v>0.99</v>
      </c>
      <c r="L31" s="3" t="s">
        <v>12</v>
      </c>
      <c r="O31" s="21">
        <f>MAX(M9:M28,M29)</f>
        <v>-0.71426495000000001</v>
      </c>
      <c r="P31" s="19" t="s">
        <v>27</v>
      </c>
    </row>
    <row r="32" spans="2:17">
      <c r="B32" s="23" t="s">
        <v>4</v>
      </c>
      <c r="C32" s="23">
        <v>2</v>
      </c>
      <c r="D32" s="27">
        <v>0</v>
      </c>
      <c r="E32" s="27">
        <v>4.0015999999999999E-4</v>
      </c>
      <c r="F32" s="27">
        <v>8.0031999999999998E-4</v>
      </c>
      <c r="G32" s="27">
        <v>1.2004800000000001E-3</v>
      </c>
      <c r="H32" s="27">
        <v>1.60064E-3</v>
      </c>
      <c r="J32" s="24" t="s">
        <v>4</v>
      </c>
      <c r="K32" s="24">
        <v>2</v>
      </c>
      <c r="L32" s="24"/>
      <c r="M32" s="26">
        <v>-2.2561529999999999</v>
      </c>
      <c r="N32" s="24"/>
      <c r="O32" s="24"/>
      <c r="P32" s="24"/>
      <c r="Q32" s="24"/>
    </row>
    <row r="33" spans="2:17" ht="45.3" customHeight="1">
      <c r="J33" s="19" t="s">
        <v>7</v>
      </c>
      <c r="K33" s="3">
        <v>0.95</v>
      </c>
      <c r="L33" s="3" t="s">
        <v>12</v>
      </c>
      <c r="O33" s="21">
        <f>MAX(O30,M32)</f>
        <v>-0.71426495000000001</v>
      </c>
      <c r="P33" s="19" t="s">
        <v>49</v>
      </c>
      <c r="Q33" s="29" t="b">
        <v>1</v>
      </c>
    </row>
    <row r="34" spans="2:17" ht="54.6" customHeight="1">
      <c r="J34" s="19" t="s">
        <v>15</v>
      </c>
      <c r="K34" s="3">
        <v>0.95</v>
      </c>
      <c r="L34" s="3" t="s">
        <v>12</v>
      </c>
      <c r="O34" s="21">
        <f>MAX(O30,M32)</f>
        <v>-0.71426495000000001</v>
      </c>
      <c r="P34" s="19" t="s">
        <v>50</v>
      </c>
      <c r="Q34" s="5"/>
    </row>
    <row r="35" spans="2:17">
      <c r="B35" s="23" t="s">
        <v>4</v>
      </c>
      <c r="C35" s="23">
        <v>3</v>
      </c>
      <c r="D35" s="27">
        <v>0.368147</v>
      </c>
      <c r="E35" s="27">
        <v>0.36854700000000001</v>
      </c>
      <c r="F35" s="27">
        <v>0.368948</v>
      </c>
      <c r="G35" s="27">
        <v>0.36934800000000001</v>
      </c>
      <c r="H35" s="27">
        <v>0.36974800000000002</v>
      </c>
      <c r="J35" s="24" t="s">
        <v>4</v>
      </c>
      <c r="K35" s="24">
        <v>3</v>
      </c>
      <c r="L35" s="24"/>
      <c r="M35" s="26">
        <v>-0.97338260744508798</v>
      </c>
      <c r="N35" s="24"/>
      <c r="O35" s="24"/>
      <c r="P35" s="24"/>
      <c r="Q35" s="24"/>
    </row>
    <row r="36" spans="2:17" ht="50.4" customHeight="1">
      <c r="J36" s="19" t="s">
        <v>61</v>
      </c>
      <c r="K36" s="3">
        <v>0.8</v>
      </c>
      <c r="L36" s="3" t="s">
        <v>12</v>
      </c>
      <c r="O36" s="21">
        <f>MAX(O33,M35)</f>
        <v>-0.71426495000000001</v>
      </c>
      <c r="P36" s="19" t="s">
        <v>60</v>
      </c>
      <c r="Q36" s="32" t="b">
        <v>1</v>
      </c>
    </row>
    <row r="37" spans="2:17" ht="43.2">
      <c r="J37" s="19" t="s">
        <v>7</v>
      </c>
      <c r="K37" s="3">
        <v>0.8</v>
      </c>
      <c r="L37" s="3" t="s">
        <v>12</v>
      </c>
      <c r="O37" s="21">
        <f>MAX(O33,M35)</f>
        <v>-0.71426495000000001</v>
      </c>
      <c r="P37" s="19" t="s">
        <v>62</v>
      </c>
    </row>
    <row r="38" spans="2:17">
      <c r="B38" s="23" t="s">
        <v>4</v>
      </c>
      <c r="C38" s="23">
        <v>4</v>
      </c>
      <c r="D38" s="27">
        <v>0.41816700000000001</v>
      </c>
      <c r="E38" s="27">
        <v>0.41856700000000002</v>
      </c>
      <c r="F38" s="27">
        <v>0.41896800000000001</v>
      </c>
      <c r="G38" s="27">
        <v>0.41936800000000002</v>
      </c>
      <c r="H38" s="27">
        <v>0.41976799999999997</v>
      </c>
      <c r="J38" s="24" t="s">
        <v>4</v>
      </c>
      <c r="K38" s="24">
        <v>4</v>
      </c>
      <c r="L38" s="24"/>
      <c r="M38" s="26">
        <v>-0.91183308716006894</v>
      </c>
      <c r="N38" s="24"/>
      <c r="O38" s="24"/>
      <c r="P38" s="24"/>
      <c r="Q38" s="24"/>
    </row>
    <row r="39" spans="2:17" ht="43.2">
      <c r="J39" s="19" t="s">
        <v>76</v>
      </c>
      <c r="K39" s="3">
        <v>0.8</v>
      </c>
      <c r="L39" s="3" t="s">
        <v>12</v>
      </c>
      <c r="O39" s="21">
        <f>MAX(O36,M38)</f>
        <v>-0.71426495000000001</v>
      </c>
      <c r="P39" s="19" t="s">
        <v>77</v>
      </c>
      <c r="Q39" s="29" t="b">
        <v>1</v>
      </c>
    </row>
    <row r="40" spans="2:17">
      <c r="B40" s="23" t="s">
        <v>4</v>
      </c>
      <c r="C40" s="23">
        <v>5</v>
      </c>
      <c r="D40" s="27">
        <v>0.99839900000000004</v>
      </c>
      <c r="E40" s="27">
        <v>0.99879899999999999</v>
      </c>
      <c r="F40" s="27">
        <v>0.99919899999999995</v>
      </c>
      <c r="G40" s="27">
        <v>0.99959900000000002</v>
      </c>
      <c r="H40" s="27">
        <v>1</v>
      </c>
      <c r="J40" s="24" t="s">
        <v>4</v>
      </c>
      <c r="K40" s="24">
        <v>5</v>
      </c>
      <c r="L40" s="24"/>
      <c r="M40" s="26">
        <v>-2.7014287206272001</v>
      </c>
      <c r="N40" s="24"/>
      <c r="O40" s="24"/>
      <c r="P40" s="24"/>
      <c r="Q40" s="24"/>
    </row>
    <row r="41" spans="2:17" ht="43.2">
      <c r="J41" s="19" t="s">
        <v>58</v>
      </c>
      <c r="O41" s="21">
        <f>MAX(O39,M40)</f>
        <v>-0.71426495000000001</v>
      </c>
      <c r="P41" s="19" t="s">
        <v>88</v>
      </c>
      <c r="Q41" s="32" t="b">
        <v>1</v>
      </c>
    </row>
  </sheetData>
  <mergeCells count="7">
    <mergeCell ref="B9:C28"/>
    <mergeCell ref="J9:L28"/>
    <mergeCell ref="B3:C3"/>
    <mergeCell ref="B4:C4"/>
    <mergeCell ref="B7:E7"/>
    <mergeCell ref="J7:M7"/>
    <mergeCell ref="B8:C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8C19-2A2F-49AE-AB19-E8DF9CAE3947}">
  <dimension ref="B3:R50"/>
  <sheetViews>
    <sheetView topLeftCell="D31" zoomScale="80" zoomScaleNormal="80" workbookViewId="0">
      <selection activeCell="Q50" sqref="Q50"/>
    </sheetView>
  </sheetViews>
  <sheetFormatPr defaultRowHeight="14.4"/>
  <cols>
    <col min="2" max="2" width="11.734375" customWidth="1"/>
    <col min="3" max="3" width="12.05078125" customWidth="1"/>
    <col min="4" max="4" width="11.62890625" customWidth="1"/>
    <col min="5" max="9" width="11.89453125" customWidth="1"/>
    <col min="11" max="11" width="26.5234375" customWidth="1"/>
    <col min="12" max="12" width="17.15625" bestFit="1" customWidth="1"/>
    <col min="13" max="13" width="17.15625" customWidth="1"/>
    <col min="14" max="14" width="16" customWidth="1"/>
    <col min="15" max="15" width="10.7890625" customWidth="1"/>
    <col min="16" max="16" width="22.89453125" customWidth="1"/>
    <col min="17" max="17" width="24.7890625" customWidth="1"/>
    <col min="18" max="18" width="22.15625" customWidth="1"/>
  </cols>
  <sheetData>
    <row r="3" spans="2:18">
      <c r="B3" s="36" t="s">
        <v>0</v>
      </c>
      <c r="C3" s="37"/>
      <c r="D3" s="11">
        <v>6</v>
      </c>
    </row>
    <row r="4" spans="2:18">
      <c r="B4" s="34" t="s">
        <v>1</v>
      </c>
      <c r="C4" s="35"/>
      <c r="D4" s="12">
        <v>1</v>
      </c>
    </row>
    <row r="7" spans="2:18" ht="38.4" customHeight="1">
      <c r="B7" s="39" t="s">
        <v>3</v>
      </c>
      <c r="C7" s="39"/>
      <c r="D7" s="39"/>
      <c r="E7" s="39"/>
      <c r="F7" s="7"/>
      <c r="G7" s="7"/>
      <c r="H7" s="7"/>
      <c r="I7" s="7"/>
      <c r="K7" s="40" t="s">
        <v>5</v>
      </c>
      <c r="L7" s="40"/>
      <c r="M7" s="40"/>
      <c r="N7" s="40"/>
      <c r="O7" s="1"/>
      <c r="P7" s="14" t="s">
        <v>6</v>
      </c>
      <c r="Q7" s="14" t="s">
        <v>16</v>
      </c>
      <c r="R7" s="14" t="s">
        <v>37</v>
      </c>
    </row>
    <row r="8" spans="2:18" ht="21.3">
      <c r="B8" s="41"/>
      <c r="C8" s="41"/>
      <c r="D8" s="16" t="s">
        <v>13</v>
      </c>
      <c r="E8" s="17" t="s">
        <v>14</v>
      </c>
      <c r="F8" s="16" t="s">
        <v>19</v>
      </c>
      <c r="G8" s="17" t="s">
        <v>22</v>
      </c>
      <c r="H8" s="16" t="s">
        <v>26</v>
      </c>
      <c r="I8" s="17" t="s">
        <v>28</v>
      </c>
      <c r="K8" s="8" t="s">
        <v>8</v>
      </c>
      <c r="L8" s="9" t="s">
        <v>9</v>
      </c>
      <c r="M8" s="15" t="s">
        <v>11</v>
      </c>
      <c r="N8" s="18" t="s">
        <v>10</v>
      </c>
      <c r="O8" s="1"/>
      <c r="P8" s="3"/>
    </row>
    <row r="9" spans="2:18">
      <c r="B9" s="38" t="s">
        <v>2</v>
      </c>
      <c r="C9" s="38"/>
      <c r="D9" s="22">
        <v>0.27262382000000002</v>
      </c>
      <c r="E9" s="22">
        <v>0.32449536000000001</v>
      </c>
      <c r="F9" s="22">
        <v>0.89710880999999998</v>
      </c>
      <c r="G9" s="22">
        <v>0.83295114999999997</v>
      </c>
      <c r="H9" s="22">
        <v>0.15406269</v>
      </c>
      <c r="I9" s="22">
        <v>0.79586361999999999</v>
      </c>
      <c r="K9" s="38" t="s">
        <v>2</v>
      </c>
      <c r="L9" s="38"/>
      <c r="M9" s="38"/>
      <c r="N9" s="20">
        <v>0.60443270000000004</v>
      </c>
      <c r="O9" s="4"/>
    </row>
    <row r="10" spans="2:18">
      <c r="B10" s="38"/>
      <c r="C10" s="38"/>
      <c r="D10" s="22">
        <v>0.54300258000000001</v>
      </c>
      <c r="E10" s="22">
        <v>0.92469389999999996</v>
      </c>
      <c r="F10" s="22">
        <v>0.34156745999999999</v>
      </c>
      <c r="G10" s="22">
        <v>0.64648585000000003</v>
      </c>
      <c r="H10" s="22">
        <v>0.71844032999999996</v>
      </c>
      <c r="I10" s="22">
        <v>0.34313265999999998</v>
      </c>
      <c r="K10" s="38"/>
      <c r="L10" s="38"/>
      <c r="M10" s="38"/>
      <c r="N10" s="20">
        <v>0.56275306999999997</v>
      </c>
      <c r="O10" s="4"/>
    </row>
    <row r="11" spans="2:18">
      <c r="B11" s="38"/>
      <c r="C11" s="38"/>
      <c r="D11" s="22">
        <v>9.0832250000000003E-2</v>
      </c>
      <c r="E11" s="22">
        <v>0.66152937999999994</v>
      </c>
      <c r="F11" s="22">
        <v>6.5930909999999995E-2</v>
      </c>
      <c r="G11" s="22">
        <v>0.25857701</v>
      </c>
      <c r="H11" s="22">
        <v>0.96345285000000003</v>
      </c>
      <c r="I11" s="22">
        <v>0.64026539999999998</v>
      </c>
      <c r="K11" s="38"/>
      <c r="L11" s="38"/>
      <c r="M11" s="38"/>
      <c r="N11" s="20">
        <v>7.5032400000000004E-3</v>
      </c>
      <c r="O11" s="4"/>
    </row>
    <row r="12" spans="2:18">
      <c r="B12" s="38"/>
      <c r="C12" s="38"/>
      <c r="D12" s="22">
        <v>0.11886697</v>
      </c>
      <c r="E12" s="22">
        <v>0.61505494000000005</v>
      </c>
      <c r="F12" s="22">
        <v>0.90581639000000003</v>
      </c>
      <c r="G12" s="22">
        <v>0.85530030000000001</v>
      </c>
      <c r="H12" s="22">
        <v>0.41363143000000002</v>
      </c>
      <c r="I12" s="22">
        <v>0.58523563000000001</v>
      </c>
      <c r="K12" s="38"/>
      <c r="L12" s="38"/>
      <c r="M12" s="38"/>
      <c r="N12" s="20">
        <v>6.1424300000000001E-2</v>
      </c>
      <c r="O12" s="6"/>
    </row>
    <row r="13" spans="2:18">
      <c r="B13" s="38"/>
      <c r="C13" s="38"/>
      <c r="D13" s="22">
        <v>0.63021764000000002</v>
      </c>
      <c r="E13" s="22">
        <v>0.83809690000000003</v>
      </c>
      <c r="F13" s="22">
        <v>0.68001305000000001</v>
      </c>
      <c r="G13" s="22">
        <v>0.73189508999999997</v>
      </c>
      <c r="H13" s="22">
        <v>0.52673671</v>
      </c>
      <c r="I13" s="22">
        <v>0.34842920999999999</v>
      </c>
      <c r="K13" s="38"/>
      <c r="L13" s="38"/>
      <c r="M13" s="38"/>
      <c r="N13" s="20">
        <v>0.27304679999999998</v>
      </c>
      <c r="O13" s="20"/>
    </row>
    <row r="14" spans="2:18">
      <c r="B14" s="38"/>
      <c r="C14" s="38"/>
      <c r="D14" s="22">
        <v>0.76491916999999998</v>
      </c>
      <c r="E14" s="22">
        <v>0.25588292000000001</v>
      </c>
      <c r="F14" s="22">
        <v>0.60908421999999995</v>
      </c>
      <c r="G14" s="22">
        <v>0.21807904</v>
      </c>
      <c r="H14" s="22">
        <v>0.32294276999999999</v>
      </c>
      <c r="I14" s="22">
        <v>9.5793660000000003E-2</v>
      </c>
      <c r="K14" s="38"/>
      <c r="L14" s="38"/>
      <c r="M14" s="38"/>
      <c r="N14" s="20">
        <v>8.3746570000000006E-2</v>
      </c>
      <c r="O14" s="4"/>
    </row>
    <row r="15" spans="2:18">
      <c r="B15" s="38"/>
      <c r="C15" s="38"/>
      <c r="D15" s="22">
        <v>5.7895540000000002E-2</v>
      </c>
      <c r="E15" s="22">
        <v>0.49167221999999999</v>
      </c>
      <c r="F15" s="22">
        <v>0.24742222</v>
      </c>
      <c r="G15" s="22">
        <v>0.21811844</v>
      </c>
      <c r="H15" s="22">
        <v>0.42042833000000002</v>
      </c>
      <c r="I15" s="22">
        <v>0.73096983999999998</v>
      </c>
      <c r="K15" s="38"/>
      <c r="L15" s="38"/>
      <c r="M15" s="38"/>
      <c r="N15" s="20">
        <v>1.3649682999999999</v>
      </c>
      <c r="O15" s="6"/>
    </row>
    <row r="16" spans="2:18">
      <c r="B16" s="38"/>
      <c r="C16" s="38"/>
      <c r="D16" s="22">
        <v>0.19525187999999999</v>
      </c>
      <c r="E16" s="22">
        <v>7.9226649999999996E-2</v>
      </c>
      <c r="F16" s="22">
        <v>0.55458046000000005</v>
      </c>
      <c r="G16" s="22">
        <v>0.17056682000000001</v>
      </c>
      <c r="H16" s="22">
        <v>1.494418E-2</v>
      </c>
      <c r="I16" s="22">
        <v>0.10703171</v>
      </c>
      <c r="K16" s="38"/>
      <c r="L16" s="38"/>
      <c r="M16" s="38"/>
      <c r="N16" s="20">
        <v>9.2644950000000004E-2</v>
      </c>
      <c r="O16" s="6"/>
    </row>
    <row r="17" spans="2:15">
      <c r="B17" s="38"/>
      <c r="C17" s="38"/>
      <c r="D17" s="22">
        <v>0.64230297999999997</v>
      </c>
      <c r="E17" s="22">
        <v>0.83687454999999999</v>
      </c>
      <c r="F17" s="22">
        <v>2.179269E-2</v>
      </c>
      <c r="G17" s="22">
        <v>0.10148801</v>
      </c>
      <c r="H17" s="22">
        <v>0.68307083000000002</v>
      </c>
      <c r="I17" s="22">
        <v>0.69241640000000004</v>
      </c>
      <c r="K17" s="38"/>
      <c r="L17" s="38"/>
      <c r="M17" s="38"/>
      <c r="N17" s="20">
        <v>1.7869599999999999E-2</v>
      </c>
      <c r="O17" s="6"/>
    </row>
    <row r="18" spans="2:15">
      <c r="B18" s="38"/>
      <c r="C18" s="38"/>
      <c r="D18" s="22">
        <v>0.78994255000000002</v>
      </c>
      <c r="E18" s="22">
        <v>0.19554500999999999</v>
      </c>
      <c r="F18" s="22">
        <v>0.57562332999999999</v>
      </c>
      <c r="G18" s="22">
        <v>7.3659189999999999E-2</v>
      </c>
      <c r="H18" s="22">
        <v>0.25904917</v>
      </c>
      <c r="I18" s="22">
        <v>5.1099859999999997E-2</v>
      </c>
      <c r="K18" s="38"/>
      <c r="L18" s="38"/>
      <c r="M18" s="38"/>
      <c r="N18" s="20">
        <v>3.3564940000000001E-2</v>
      </c>
      <c r="O18" s="6"/>
    </row>
    <row r="19" spans="2:15">
      <c r="B19" s="38"/>
      <c r="C19" s="38"/>
      <c r="D19" s="22">
        <v>0.52849732999999999</v>
      </c>
      <c r="E19" s="22">
        <v>0.45742435999999997</v>
      </c>
      <c r="F19" s="22">
        <v>0.36009569000000002</v>
      </c>
      <c r="G19" s="22">
        <v>0.36204551000000001</v>
      </c>
      <c r="H19" s="22">
        <v>0.81689098000000004</v>
      </c>
      <c r="I19" s="22">
        <v>0.63747637000000001</v>
      </c>
      <c r="K19" s="38"/>
      <c r="L19" s="38"/>
      <c r="M19" s="38"/>
      <c r="N19" s="20">
        <v>7.3516300000000007E-2</v>
      </c>
      <c r="O19" s="6"/>
    </row>
    <row r="20" spans="2:15">
      <c r="B20" s="38"/>
      <c r="C20" s="38"/>
      <c r="D20" s="22">
        <v>0.72261522</v>
      </c>
      <c r="E20" s="22">
        <v>1.181284E-2</v>
      </c>
      <c r="F20" s="22">
        <v>6.364591E-2</v>
      </c>
      <c r="G20" s="22">
        <v>0.16517311000000001</v>
      </c>
      <c r="H20" s="22">
        <v>7.9244149999999999E-2</v>
      </c>
      <c r="I20" s="22">
        <v>0.35995166000000001</v>
      </c>
      <c r="K20" s="38"/>
      <c r="L20" s="38"/>
      <c r="M20" s="38"/>
      <c r="N20" s="20">
        <v>0.20630970000000001</v>
      </c>
      <c r="O20" s="6"/>
    </row>
    <row r="21" spans="2:15">
      <c r="B21" s="38"/>
      <c r="C21" s="38"/>
      <c r="D21" s="22">
        <v>7.5664919999999997E-2</v>
      </c>
      <c r="E21" s="22">
        <v>0.33450212000000001</v>
      </c>
      <c r="F21" s="22">
        <v>0.13273273999999999</v>
      </c>
      <c r="G21" s="22">
        <v>0.60831236</v>
      </c>
      <c r="H21" s="22">
        <v>0.91838591999999997</v>
      </c>
      <c r="I21" s="22">
        <v>0.82233078999999998</v>
      </c>
      <c r="K21" s="38"/>
      <c r="L21" s="38"/>
      <c r="M21" s="38"/>
      <c r="N21" s="20">
        <v>8.8256299999999992E-3</v>
      </c>
      <c r="O21" s="6"/>
    </row>
    <row r="22" spans="2:15">
      <c r="B22" s="38"/>
      <c r="C22" s="38"/>
      <c r="D22" s="22">
        <v>0.94245084000000001</v>
      </c>
      <c r="E22" s="22">
        <v>0.37743961999999998</v>
      </c>
      <c r="F22" s="22">
        <v>0.48612232999999999</v>
      </c>
      <c r="G22" s="22">
        <v>0.22879108000000001</v>
      </c>
      <c r="H22" s="22">
        <v>8.2631750000000004E-2</v>
      </c>
      <c r="I22" s="22">
        <v>0.71195755000000005</v>
      </c>
      <c r="K22" s="38"/>
      <c r="L22" s="38"/>
      <c r="M22" s="38"/>
      <c r="N22" s="20">
        <v>0.26840032000000003</v>
      </c>
      <c r="O22" s="6"/>
    </row>
    <row r="23" spans="2:15">
      <c r="B23" s="38"/>
      <c r="C23" s="38"/>
      <c r="D23" s="22">
        <v>0.14864701999999999</v>
      </c>
      <c r="E23" s="22">
        <v>3.3943359999999999E-2</v>
      </c>
      <c r="F23" s="22">
        <v>0.72880564999999997</v>
      </c>
      <c r="G23" s="22">
        <v>0.31606645999999999</v>
      </c>
      <c r="H23" s="22">
        <v>2.1769380000000001E-2</v>
      </c>
      <c r="I23" s="22">
        <v>0.51691776</v>
      </c>
      <c r="K23" s="38"/>
      <c r="L23" s="38"/>
      <c r="M23" s="38"/>
      <c r="N23" s="20">
        <v>0.61152552999999998</v>
      </c>
      <c r="O23" s="6"/>
    </row>
    <row r="24" spans="2:15">
      <c r="B24" s="38"/>
      <c r="C24" s="38"/>
      <c r="D24" s="22">
        <v>0.81711239000000002</v>
      </c>
      <c r="E24" s="22">
        <v>0.54816823000000003</v>
      </c>
      <c r="F24" s="22">
        <v>0.10334757999999999</v>
      </c>
      <c r="G24" s="22">
        <v>0.12436955</v>
      </c>
      <c r="H24" s="22">
        <v>0.72823481999999995</v>
      </c>
      <c r="I24" s="22">
        <v>0.44967361</v>
      </c>
      <c r="K24" s="38"/>
      <c r="L24" s="38"/>
      <c r="M24" s="38"/>
      <c r="N24" s="20">
        <v>1.4798179999999999E-2</v>
      </c>
      <c r="O24" s="6"/>
    </row>
    <row r="25" spans="2:15">
      <c r="B25" s="38"/>
      <c r="C25" s="38"/>
      <c r="D25" s="22">
        <v>0.41762629000000001</v>
      </c>
      <c r="E25" s="22">
        <v>6.4099980000000001E-2</v>
      </c>
      <c r="F25" s="22">
        <v>0.24566877000000001</v>
      </c>
      <c r="G25" s="22">
        <v>0.5590408</v>
      </c>
      <c r="H25" s="22">
        <v>0.19153138</v>
      </c>
      <c r="I25" s="22">
        <v>0.25464091999999999</v>
      </c>
      <c r="K25" s="38"/>
      <c r="L25" s="38"/>
      <c r="M25" s="38"/>
      <c r="N25" s="20">
        <v>0.27489250999999998</v>
      </c>
      <c r="O25" s="6"/>
    </row>
    <row r="26" spans="2:15">
      <c r="B26" s="38"/>
      <c r="C26" s="38"/>
      <c r="D26" s="22">
        <v>0.72628566000000006</v>
      </c>
      <c r="E26" s="22">
        <v>0.46489581000000002</v>
      </c>
      <c r="F26" s="22">
        <v>0.92457051000000001</v>
      </c>
      <c r="G26" s="22">
        <v>0.8072454</v>
      </c>
      <c r="H26" s="22">
        <v>0.63543839999999996</v>
      </c>
      <c r="I26" s="22">
        <v>0.14341787</v>
      </c>
      <c r="K26" s="38"/>
      <c r="L26" s="38"/>
      <c r="M26" s="38"/>
      <c r="N26" s="20">
        <v>6.6763249999999996E-2</v>
      </c>
      <c r="O26" s="6"/>
    </row>
    <row r="27" spans="2:15">
      <c r="B27" s="38"/>
      <c r="C27" s="38"/>
      <c r="D27" s="22">
        <v>0.31981042999999998</v>
      </c>
      <c r="E27" s="22">
        <v>0.52009759</v>
      </c>
      <c r="F27" s="22">
        <v>0.29067775000000001</v>
      </c>
      <c r="G27" s="22">
        <v>0.87670667999999996</v>
      </c>
      <c r="H27" s="22">
        <v>0.49503469</v>
      </c>
      <c r="I27" s="22">
        <v>0.61908249999999998</v>
      </c>
      <c r="K27" s="38"/>
      <c r="L27" s="38"/>
      <c r="M27" s="38"/>
      <c r="N27" s="20">
        <v>4.2118349999999999E-2</v>
      </c>
      <c r="O27" s="6"/>
    </row>
    <row r="28" spans="2:15">
      <c r="B28" s="38"/>
      <c r="C28" s="38"/>
      <c r="D28" s="22">
        <v>0.87987128000000003</v>
      </c>
      <c r="E28" s="22">
        <v>0.39796198999999999</v>
      </c>
      <c r="F28" s="22">
        <v>3.6345599999999998E-3</v>
      </c>
      <c r="G28" s="22">
        <v>0.95699064</v>
      </c>
      <c r="H28" s="22">
        <v>0.26451373</v>
      </c>
      <c r="I28" s="22">
        <v>0.11486924</v>
      </c>
      <c r="K28" s="38"/>
      <c r="L28" s="38"/>
      <c r="M28" s="38"/>
      <c r="N28" s="20">
        <v>2.7014700000000001E-3</v>
      </c>
      <c r="O28" s="6"/>
    </row>
    <row r="29" spans="2:15">
      <c r="B29" s="38"/>
      <c r="C29" s="38"/>
      <c r="D29" s="22">
        <v>0.54124077999999998</v>
      </c>
      <c r="E29" s="22">
        <v>0.63140313999999997</v>
      </c>
      <c r="F29" s="22">
        <v>3.1902050000000001E-2</v>
      </c>
      <c r="G29" s="22">
        <v>0.44998156</v>
      </c>
      <c r="H29" s="22">
        <v>0.79865282000000004</v>
      </c>
      <c r="I29" s="22">
        <v>0.63370428999999995</v>
      </c>
      <c r="K29" s="38"/>
      <c r="L29" s="38"/>
      <c r="M29" s="38"/>
      <c r="N29" s="20">
        <v>1.8209070000000001E-2</v>
      </c>
      <c r="O29" s="6"/>
    </row>
    <row r="30" spans="2:15">
      <c r="B30" s="38"/>
      <c r="C30" s="38"/>
      <c r="D30" s="22">
        <v>0.22634792000000001</v>
      </c>
      <c r="E30" s="22">
        <v>0.11502581000000001</v>
      </c>
      <c r="F30" s="22">
        <v>0.82474966000000005</v>
      </c>
      <c r="G30" s="22">
        <v>0.94538372000000004</v>
      </c>
      <c r="H30" s="22">
        <v>0.90531152999999998</v>
      </c>
      <c r="I30" s="22">
        <v>0.95101391999999996</v>
      </c>
      <c r="K30" s="38"/>
      <c r="L30" s="38"/>
      <c r="M30" s="38"/>
      <c r="N30" s="20">
        <v>7.0160300000000004E-3</v>
      </c>
      <c r="O30" s="6"/>
    </row>
    <row r="31" spans="2:15">
      <c r="B31" s="38"/>
      <c r="C31" s="38"/>
      <c r="D31" s="22">
        <v>0.68685257</v>
      </c>
      <c r="E31" s="22">
        <v>4.1017209999999998E-2</v>
      </c>
      <c r="F31" s="22">
        <v>7.5730099999999998E-3</v>
      </c>
      <c r="G31" s="22">
        <v>0.28500900000000001</v>
      </c>
      <c r="H31" s="22">
        <v>0.69156848000000004</v>
      </c>
      <c r="I31" s="22">
        <v>0.65554290000000004</v>
      </c>
      <c r="K31" s="38"/>
      <c r="L31" s="38"/>
      <c r="M31" s="38"/>
      <c r="N31" s="20">
        <v>0.10050661</v>
      </c>
      <c r="O31" s="6"/>
    </row>
    <row r="32" spans="2:15">
      <c r="B32" s="38"/>
      <c r="C32" s="38"/>
      <c r="D32" s="22">
        <v>0.17597753999999999</v>
      </c>
      <c r="E32" s="22">
        <v>0.62441650000000004</v>
      </c>
      <c r="F32" s="22">
        <v>0.29554197999999998</v>
      </c>
      <c r="G32" s="22">
        <v>0.46955276000000001</v>
      </c>
      <c r="H32" s="22">
        <v>9.7769770000000006E-2</v>
      </c>
      <c r="I32" s="22">
        <v>0.72814108</v>
      </c>
      <c r="K32" s="38"/>
      <c r="L32" s="38"/>
      <c r="M32" s="38"/>
      <c r="N32" s="20">
        <v>0.47539552000000002</v>
      </c>
      <c r="O32" s="6"/>
    </row>
    <row r="33" spans="2:18">
      <c r="B33" s="38"/>
      <c r="C33" s="38"/>
      <c r="D33" s="22">
        <v>0.88164673999999998</v>
      </c>
      <c r="E33" s="22">
        <v>0.20445019</v>
      </c>
      <c r="F33" s="22">
        <v>0.41447435999999999</v>
      </c>
      <c r="G33" s="22">
        <v>0.42038468000000001</v>
      </c>
      <c r="H33" s="22">
        <v>0.26491501000000001</v>
      </c>
      <c r="I33" s="22">
        <v>0.73066019000000004</v>
      </c>
      <c r="K33" s="38"/>
      <c r="L33" s="38"/>
      <c r="M33" s="38"/>
      <c r="N33" s="20">
        <v>0.67514163000000005</v>
      </c>
      <c r="O33" s="6"/>
    </row>
    <row r="34" spans="2:18">
      <c r="B34" s="38"/>
      <c r="C34" s="38"/>
      <c r="D34" s="22">
        <v>6.6610509999999998E-2</v>
      </c>
      <c r="E34" s="22">
        <v>0.52804507000000001</v>
      </c>
      <c r="F34" s="22">
        <v>0.81609520000000002</v>
      </c>
      <c r="G34" s="22">
        <v>0.96101714000000005</v>
      </c>
      <c r="H34" s="22">
        <v>8.6509329999999995E-2</v>
      </c>
      <c r="I34" s="22">
        <v>0.77778822000000003</v>
      </c>
      <c r="K34" s="38"/>
      <c r="L34" s="38"/>
      <c r="M34" s="38"/>
      <c r="N34" s="20">
        <v>0.51645722000000005</v>
      </c>
      <c r="O34" s="6"/>
    </row>
    <row r="35" spans="2:18">
      <c r="B35" s="38"/>
      <c r="C35" s="38"/>
      <c r="D35" s="22">
        <v>0.93246638000000004</v>
      </c>
      <c r="E35" s="22">
        <v>0.48881189000000003</v>
      </c>
      <c r="F35" s="22">
        <v>0.25860773999999997</v>
      </c>
      <c r="G35" s="22">
        <v>0.95624343999999994</v>
      </c>
      <c r="H35" s="22">
        <v>0.19042781</v>
      </c>
      <c r="I35" s="22">
        <v>0.51985176</v>
      </c>
      <c r="K35" s="38"/>
      <c r="L35" s="38"/>
      <c r="M35" s="38"/>
      <c r="N35" s="20">
        <v>3.7774800000000002E-3</v>
      </c>
      <c r="O35" s="6"/>
    </row>
    <row r="36" spans="2:18">
      <c r="B36" s="38"/>
      <c r="C36" s="38"/>
      <c r="D36" s="22">
        <v>0.84686697</v>
      </c>
      <c r="E36" s="22">
        <v>0.14242916999999999</v>
      </c>
      <c r="F36" s="22">
        <v>6.0668590000000001E-2</v>
      </c>
      <c r="G36" s="22">
        <v>0.75629212999999995</v>
      </c>
      <c r="H36" s="22">
        <v>0.55239830000000001</v>
      </c>
      <c r="I36" s="22">
        <v>8.1306089999999998E-2</v>
      </c>
      <c r="K36" s="38"/>
      <c r="L36" s="38"/>
      <c r="M36" s="38"/>
      <c r="N36" s="20">
        <v>3.1343299999999998E-3</v>
      </c>
      <c r="O36" s="6"/>
    </row>
    <row r="37" spans="2:18">
      <c r="B37" s="38"/>
      <c r="C37" s="38"/>
      <c r="D37" s="22">
        <v>0.80628208000000001</v>
      </c>
      <c r="E37" s="22">
        <v>0.32412236999999999</v>
      </c>
      <c r="F37" s="22">
        <v>0.72607600999999999</v>
      </c>
      <c r="G37" s="22">
        <v>0.14871213</v>
      </c>
      <c r="H37" s="22">
        <v>0.71937640000000003</v>
      </c>
      <c r="I37" s="22">
        <v>0.36288397999999999</v>
      </c>
      <c r="K37" s="38"/>
      <c r="L37" s="38"/>
      <c r="M37" s="38"/>
      <c r="N37" s="20">
        <v>2.134252E-2</v>
      </c>
      <c r="O37" s="6"/>
    </row>
    <row r="38" spans="2:18">
      <c r="B38" s="38"/>
      <c r="C38" s="38"/>
      <c r="D38" s="22">
        <v>0.47682312999999998</v>
      </c>
      <c r="E38" s="22">
        <v>0.34094194999999999</v>
      </c>
      <c r="F38" s="22">
        <v>1.4335229999999999E-2</v>
      </c>
      <c r="G38" s="22">
        <v>0.88013956000000004</v>
      </c>
      <c r="H38" s="22">
        <v>0.99865470000000001</v>
      </c>
      <c r="I38" s="22">
        <v>7.9664020000000002E-2</v>
      </c>
      <c r="K38" s="38"/>
      <c r="L38" s="38"/>
      <c r="M38" s="38"/>
      <c r="N38" s="20">
        <v>9.5411159999999995E-2</v>
      </c>
      <c r="O38" s="6"/>
    </row>
    <row r="39" spans="2:18">
      <c r="B39" s="23" t="s">
        <v>4</v>
      </c>
      <c r="C39" s="23">
        <v>1</v>
      </c>
      <c r="D39" s="27">
        <v>0.5</v>
      </c>
      <c r="E39" s="27">
        <v>0.5</v>
      </c>
      <c r="F39" s="27">
        <v>0.5</v>
      </c>
      <c r="G39" s="27">
        <v>0.5</v>
      </c>
      <c r="H39" s="27">
        <v>0.5</v>
      </c>
      <c r="I39" s="27">
        <v>0.5</v>
      </c>
      <c r="K39" s="24" t="s">
        <v>4</v>
      </c>
      <c r="L39" s="24">
        <v>1</v>
      </c>
      <c r="M39" s="24"/>
      <c r="N39" s="26">
        <v>0.50531499170223304</v>
      </c>
      <c r="O39" s="24"/>
      <c r="P39" s="24"/>
      <c r="Q39" s="24"/>
      <c r="R39" s="24"/>
    </row>
    <row r="40" spans="2:18" ht="45.9" customHeight="1">
      <c r="K40" s="19" t="s">
        <v>7</v>
      </c>
      <c r="L40" s="3">
        <v>0.99</v>
      </c>
      <c r="M40" s="3" t="s">
        <v>12</v>
      </c>
      <c r="N40" s="6"/>
      <c r="P40" s="21">
        <f>MAX(N9:N38,N39)</f>
        <v>1.3649682999999999</v>
      </c>
      <c r="Q40" s="19" t="s">
        <v>29</v>
      </c>
      <c r="R40" s="29" t="b">
        <v>1</v>
      </c>
    </row>
    <row r="41" spans="2:18" ht="43.8" customHeight="1">
      <c r="K41" s="19" t="s">
        <v>15</v>
      </c>
      <c r="L41" s="3">
        <v>0.99</v>
      </c>
      <c r="M41" s="3" t="s">
        <v>12</v>
      </c>
      <c r="P41" s="21">
        <f>MAX(N9:N38,N39)</f>
        <v>1.3649682999999999</v>
      </c>
      <c r="Q41" s="19" t="s">
        <v>30</v>
      </c>
    </row>
    <row r="42" spans="2:18">
      <c r="B42" s="23" t="s">
        <v>4</v>
      </c>
      <c r="C42" s="23">
        <v>2</v>
      </c>
      <c r="D42" s="27">
        <v>0</v>
      </c>
      <c r="E42" s="27">
        <v>3.3344000000000001E-4</v>
      </c>
      <c r="F42" s="27">
        <v>6.6688999999999995E-4</v>
      </c>
      <c r="G42" s="27">
        <v>1.00033E-3</v>
      </c>
      <c r="H42" s="27">
        <v>1.3337799999999999E-3</v>
      </c>
      <c r="I42" s="27">
        <v>1.6672200000000001E-3</v>
      </c>
      <c r="K42" s="24" t="s">
        <v>4</v>
      </c>
      <c r="L42" s="24">
        <v>2</v>
      </c>
      <c r="M42" s="24"/>
      <c r="N42" s="26">
        <v>5.2875586628454603E-3</v>
      </c>
      <c r="O42" s="24"/>
      <c r="P42" s="24"/>
      <c r="Q42" s="24"/>
      <c r="R42" s="24"/>
    </row>
    <row r="43" spans="2:18" ht="46.5" customHeight="1">
      <c r="K43" s="19" t="s">
        <v>7</v>
      </c>
      <c r="L43" s="3">
        <v>0.99</v>
      </c>
      <c r="M43" s="3" t="s">
        <v>12</v>
      </c>
      <c r="P43" s="21">
        <f>MAX(P40,N42)</f>
        <v>1.3649682999999999</v>
      </c>
      <c r="Q43" s="19" t="s">
        <v>51</v>
      </c>
      <c r="R43" s="29" t="b">
        <v>1</v>
      </c>
    </row>
    <row r="44" spans="2:18" ht="46.5" customHeight="1">
      <c r="K44" s="19" t="s">
        <v>15</v>
      </c>
      <c r="L44" s="3">
        <v>0.99</v>
      </c>
      <c r="M44" s="3" t="s">
        <v>12</v>
      </c>
      <c r="P44" s="21">
        <f>MAX(P40,N42)</f>
        <v>1.3649682999999999</v>
      </c>
      <c r="Q44" s="19" t="s">
        <v>51</v>
      </c>
      <c r="R44" s="5"/>
    </row>
    <row r="45" spans="2:18">
      <c r="B45" s="23" t="s">
        <v>4</v>
      </c>
      <c r="C45" s="23">
        <v>3</v>
      </c>
      <c r="D45" s="27">
        <v>0.99833300000000003</v>
      </c>
      <c r="E45" s="27">
        <v>0.99866600000000005</v>
      </c>
      <c r="F45" s="27">
        <v>0.999</v>
      </c>
      <c r="G45" s="27">
        <v>0.99933300000000003</v>
      </c>
      <c r="H45" s="27">
        <v>0.99966699999999997</v>
      </c>
      <c r="I45" s="27">
        <v>1</v>
      </c>
      <c r="K45" s="24" t="s">
        <v>4</v>
      </c>
      <c r="L45" s="24">
        <v>3</v>
      </c>
      <c r="M45" s="24"/>
      <c r="N45" s="26">
        <v>3.4997016155550602E-5</v>
      </c>
      <c r="O45" s="24"/>
      <c r="P45" s="24"/>
      <c r="Q45" s="24"/>
      <c r="R45" s="24"/>
    </row>
    <row r="46" spans="2:18" ht="43.2">
      <c r="K46" s="19" t="s">
        <v>63</v>
      </c>
      <c r="P46" s="21">
        <f>MAX(P43,N45)</f>
        <v>1.3649682999999999</v>
      </c>
      <c r="Q46" s="19" t="s">
        <v>64</v>
      </c>
      <c r="R46" s="32" t="b">
        <v>1</v>
      </c>
    </row>
    <row r="47" spans="2:18">
      <c r="B47" s="23" t="s">
        <v>4</v>
      </c>
      <c r="C47" s="23">
        <v>4</v>
      </c>
      <c r="D47" s="27">
        <v>0.06</v>
      </c>
      <c r="E47" s="27">
        <v>0.4</v>
      </c>
      <c r="F47" s="27">
        <v>0.2</v>
      </c>
      <c r="G47" s="27">
        <v>0.25</v>
      </c>
      <c r="H47" s="27">
        <v>0.4</v>
      </c>
      <c r="I47" s="27">
        <v>0.7</v>
      </c>
      <c r="K47" s="24" t="s">
        <v>4</v>
      </c>
      <c r="L47" s="24">
        <v>4</v>
      </c>
      <c r="M47" s="24"/>
      <c r="N47" s="26">
        <v>1.8037650755561301</v>
      </c>
      <c r="O47" s="24"/>
      <c r="P47" s="24"/>
      <c r="Q47" s="24"/>
      <c r="R47" s="24"/>
    </row>
    <row r="48" spans="2:18" ht="43.2">
      <c r="K48" s="19" t="s">
        <v>76</v>
      </c>
      <c r="P48" s="21">
        <f>MAX(P46,N47)</f>
        <v>1.8037650755561301</v>
      </c>
      <c r="Q48" s="33" t="s">
        <v>78</v>
      </c>
      <c r="R48" s="29" t="b">
        <v>1</v>
      </c>
    </row>
    <row r="49" spans="2:18">
      <c r="B49" s="23" t="s">
        <v>4</v>
      </c>
      <c r="C49" s="23">
        <v>5</v>
      </c>
      <c r="D49" s="27">
        <v>0.25408399999999998</v>
      </c>
      <c r="E49" s="27">
        <v>0.25441799999999998</v>
      </c>
      <c r="F49" s="27">
        <v>0.25475100000000001</v>
      </c>
      <c r="G49" s="27">
        <v>0.25508500000000001</v>
      </c>
      <c r="H49" s="27">
        <v>0.25541799999999998</v>
      </c>
      <c r="I49" s="27">
        <v>0.25575100000000001</v>
      </c>
      <c r="K49" s="24" t="s">
        <v>4</v>
      </c>
      <c r="L49" s="24">
        <v>5</v>
      </c>
      <c r="M49" s="24"/>
      <c r="N49" s="26">
        <v>0.753853836248642</v>
      </c>
      <c r="O49" s="24"/>
      <c r="P49" s="24"/>
      <c r="Q49" s="24"/>
      <c r="R49" s="24"/>
    </row>
    <row r="50" spans="2:18" ht="43.2">
      <c r="K50" s="19" t="s">
        <v>84</v>
      </c>
      <c r="P50" s="21">
        <f>MAX(P48,N49)</f>
        <v>1.8037650755561301</v>
      </c>
      <c r="Q50" s="19" t="s">
        <v>89</v>
      </c>
      <c r="R50" s="29" t="b">
        <v>1</v>
      </c>
    </row>
  </sheetData>
  <mergeCells count="7">
    <mergeCell ref="B9:C38"/>
    <mergeCell ref="K9:M38"/>
    <mergeCell ref="B3:C3"/>
    <mergeCell ref="B4:C4"/>
    <mergeCell ref="B7:E7"/>
    <mergeCell ref="K7:N7"/>
    <mergeCell ref="B8:C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28BB-74D8-433B-A00A-14B553BBFF2F}">
  <dimension ref="B3:T61"/>
  <sheetViews>
    <sheetView tabSelected="1" topLeftCell="A40" zoomScale="80" zoomScaleNormal="80" workbookViewId="0">
      <selection activeCell="S61" sqref="S61"/>
    </sheetView>
  </sheetViews>
  <sheetFormatPr defaultRowHeight="14.4"/>
  <cols>
    <col min="2" max="2" width="11.734375" customWidth="1"/>
    <col min="3" max="3" width="12.05078125" customWidth="1"/>
    <col min="4" max="4" width="11.62890625" customWidth="1"/>
    <col min="5" max="5" width="13.62890625" bestFit="1" customWidth="1"/>
    <col min="6" max="11" width="11.89453125" customWidth="1"/>
    <col min="13" max="13" width="26.5234375" customWidth="1"/>
    <col min="14" max="14" width="17.15625" bestFit="1" customWidth="1"/>
    <col min="15" max="15" width="17.15625" customWidth="1"/>
    <col min="16" max="16" width="16" customWidth="1"/>
    <col min="17" max="17" width="10.7890625" customWidth="1"/>
    <col min="18" max="18" width="22.89453125" customWidth="1"/>
    <col min="19" max="19" width="24.7890625" customWidth="1"/>
    <col min="20" max="20" width="22.15625" customWidth="1"/>
  </cols>
  <sheetData>
    <row r="3" spans="2:20">
      <c r="B3" s="36" t="s">
        <v>0</v>
      </c>
      <c r="C3" s="37"/>
      <c r="D3" s="11">
        <v>8</v>
      </c>
    </row>
    <row r="4" spans="2:20">
      <c r="B4" s="34" t="s">
        <v>1</v>
      </c>
      <c r="C4" s="35"/>
      <c r="D4" s="12">
        <v>1</v>
      </c>
    </row>
    <row r="7" spans="2:20" ht="38.4" customHeight="1">
      <c r="B7" s="39" t="s">
        <v>3</v>
      </c>
      <c r="C7" s="39"/>
      <c r="D7" s="39"/>
      <c r="E7" s="39"/>
      <c r="F7" s="7"/>
      <c r="G7" s="7"/>
      <c r="H7" s="7"/>
      <c r="I7" s="7"/>
      <c r="J7" s="7"/>
      <c r="K7" s="7"/>
      <c r="M7" s="40" t="s">
        <v>5</v>
      </c>
      <c r="N7" s="40"/>
      <c r="O7" s="40"/>
      <c r="P7" s="40"/>
      <c r="Q7" s="1"/>
      <c r="R7" s="14" t="s">
        <v>6</v>
      </c>
      <c r="S7" s="14" t="s">
        <v>16</v>
      </c>
      <c r="T7" s="14" t="s">
        <v>37</v>
      </c>
    </row>
    <row r="8" spans="2:20" ht="21.3">
      <c r="B8" s="41"/>
      <c r="C8" s="41"/>
      <c r="D8" s="16" t="s">
        <v>13</v>
      </c>
      <c r="E8" s="17" t="s">
        <v>14</v>
      </c>
      <c r="F8" s="16" t="s">
        <v>19</v>
      </c>
      <c r="G8" s="17" t="s">
        <v>22</v>
      </c>
      <c r="H8" s="16" t="s">
        <v>26</v>
      </c>
      <c r="I8" s="17" t="s">
        <v>28</v>
      </c>
      <c r="J8" s="16" t="s">
        <v>31</v>
      </c>
      <c r="K8" s="17" t="s">
        <v>32</v>
      </c>
      <c r="M8" s="8" t="s">
        <v>8</v>
      </c>
      <c r="N8" s="9" t="s">
        <v>9</v>
      </c>
      <c r="O8" s="15" t="s">
        <v>11</v>
      </c>
      <c r="P8" s="18" t="s">
        <v>10</v>
      </c>
      <c r="Q8" s="1"/>
      <c r="R8" s="3"/>
    </row>
    <row r="9" spans="2:20">
      <c r="B9" s="38" t="s">
        <v>2</v>
      </c>
      <c r="C9" s="38"/>
      <c r="D9" s="22">
        <v>0.60499444999999996</v>
      </c>
      <c r="E9" s="22">
        <v>0.29221501999999999</v>
      </c>
      <c r="F9" s="22">
        <v>0.90845275000000003</v>
      </c>
      <c r="G9" s="22">
        <v>0.35550623999999997</v>
      </c>
      <c r="H9" s="22">
        <v>0.20166872</v>
      </c>
      <c r="I9" s="22">
        <v>0.57533800999999996</v>
      </c>
      <c r="J9" s="22">
        <v>0.31031094999999997</v>
      </c>
      <c r="K9" s="22">
        <v>0.73428137999999998</v>
      </c>
      <c r="M9" s="38" t="s">
        <v>2</v>
      </c>
      <c r="N9" s="38"/>
      <c r="O9" s="38"/>
      <c r="P9" s="20">
        <v>7.3987211000000004</v>
      </c>
      <c r="Q9" s="4"/>
    </row>
    <row r="10" spans="2:20">
      <c r="B10" s="38"/>
      <c r="C10" s="38"/>
      <c r="D10" s="22">
        <v>0.17800695999999999</v>
      </c>
      <c r="E10" s="22">
        <v>0.56622265000000005</v>
      </c>
      <c r="F10" s="22">
        <v>0.99486184</v>
      </c>
      <c r="G10" s="22">
        <v>0.21032501000000001</v>
      </c>
      <c r="H10" s="22">
        <v>0.32015265999999998</v>
      </c>
      <c r="I10" s="22">
        <v>0.70790878999999995</v>
      </c>
      <c r="J10" s="22">
        <v>0.63538448999999997</v>
      </c>
      <c r="K10" s="22">
        <v>0.10713163000000001</v>
      </c>
      <c r="M10" s="38"/>
      <c r="N10" s="38"/>
      <c r="O10" s="38"/>
      <c r="P10" s="20">
        <v>7.0052273600000001</v>
      </c>
      <c r="Q10" s="4"/>
    </row>
    <row r="11" spans="2:20">
      <c r="B11" s="38"/>
      <c r="C11" s="38"/>
      <c r="D11" s="22">
        <v>9.0769800000000001E-3</v>
      </c>
      <c r="E11" s="22">
        <v>0.81162615000000005</v>
      </c>
      <c r="F11" s="22">
        <v>0.52052036000000002</v>
      </c>
      <c r="G11" s="22">
        <v>7.5686680000000006E-2</v>
      </c>
      <c r="H11" s="22">
        <v>0.26511182999999999</v>
      </c>
      <c r="I11" s="22">
        <v>9.1651689999999994E-2</v>
      </c>
      <c r="J11" s="22">
        <v>0.59241515</v>
      </c>
      <c r="K11" s="22">
        <v>0.36732026000000001</v>
      </c>
      <c r="M11" s="38"/>
      <c r="N11" s="38"/>
      <c r="O11" s="38"/>
      <c r="P11" s="20">
        <v>8.45948162</v>
      </c>
      <c r="Q11" s="4"/>
    </row>
    <row r="12" spans="2:20">
      <c r="B12" s="38"/>
      <c r="C12" s="38"/>
      <c r="D12" s="22">
        <v>0.50602815999999995</v>
      </c>
      <c r="E12" s="22">
        <v>0.65373011999999997</v>
      </c>
      <c r="F12" s="22">
        <v>0.36341077999999999</v>
      </c>
      <c r="G12" s="22">
        <v>0.17798105</v>
      </c>
      <c r="H12" s="22">
        <v>9.3728300000000001E-2</v>
      </c>
      <c r="I12" s="22">
        <v>0.19742533000000001</v>
      </c>
      <c r="J12" s="22">
        <v>0.75582689999999997</v>
      </c>
      <c r="K12" s="22">
        <v>0.29247234</v>
      </c>
      <c r="M12" s="38"/>
      <c r="N12" s="38"/>
      <c r="O12" s="38"/>
      <c r="P12" s="20">
        <v>8.2840078100000003</v>
      </c>
      <c r="Q12" s="6"/>
    </row>
    <row r="13" spans="2:20">
      <c r="B13" s="38"/>
      <c r="C13" s="38"/>
      <c r="D13" s="22">
        <v>0.35990926000000001</v>
      </c>
      <c r="E13" s="22">
        <v>0.24907567999999999</v>
      </c>
      <c r="F13" s="22">
        <v>0.49599716999999999</v>
      </c>
      <c r="G13" s="22">
        <v>0.70921498000000005</v>
      </c>
      <c r="H13" s="22">
        <v>0.11498719</v>
      </c>
      <c r="I13" s="22">
        <v>0.28920691999999998</v>
      </c>
      <c r="J13" s="22">
        <v>0.55729514999999996</v>
      </c>
      <c r="K13" s="22">
        <v>0.59388173</v>
      </c>
      <c r="M13" s="38"/>
      <c r="N13" s="38"/>
      <c r="O13" s="38"/>
      <c r="P13" s="20">
        <v>8.6061167899999997</v>
      </c>
      <c r="Q13" s="20"/>
    </row>
    <row r="14" spans="2:20">
      <c r="B14" s="38"/>
      <c r="C14" s="38"/>
      <c r="D14" s="22">
        <v>0.77881834000000005</v>
      </c>
      <c r="E14" s="22">
        <v>3.4194999999999998E-3</v>
      </c>
      <c r="F14" s="22">
        <v>0.33798313000000002</v>
      </c>
      <c r="G14" s="22">
        <v>0.51952777999999999</v>
      </c>
      <c r="H14" s="22">
        <v>0.82090699</v>
      </c>
      <c r="I14" s="22">
        <v>0.53724669000000003</v>
      </c>
      <c r="J14" s="22">
        <v>0.55134709999999998</v>
      </c>
      <c r="K14" s="22">
        <v>0.66003208999999996</v>
      </c>
      <c r="M14" s="38"/>
      <c r="N14" s="38"/>
      <c r="O14" s="38"/>
      <c r="P14" s="20">
        <v>8.5417479200000006</v>
      </c>
      <c r="Q14" s="4"/>
    </row>
    <row r="15" spans="2:20">
      <c r="B15" s="38"/>
      <c r="C15" s="38"/>
      <c r="D15" s="22">
        <v>0.90864931999999998</v>
      </c>
      <c r="E15" s="22">
        <v>6.2249699999999998E-2</v>
      </c>
      <c r="F15" s="22">
        <v>0.23825954999999999</v>
      </c>
      <c r="G15" s="22">
        <v>0.76660355000000002</v>
      </c>
      <c r="H15" s="22">
        <v>0.13233596</v>
      </c>
      <c r="I15" s="22">
        <v>0.99024380999999995</v>
      </c>
      <c r="J15" s="22">
        <v>0.68806782</v>
      </c>
      <c r="K15" s="22">
        <v>0.74249593999999997</v>
      </c>
      <c r="M15" s="38"/>
      <c r="N15" s="38"/>
      <c r="O15" s="38"/>
      <c r="P15" s="20">
        <v>7.3274345800000003</v>
      </c>
      <c r="Q15" s="6"/>
    </row>
    <row r="16" spans="2:20">
      <c r="B16" s="38"/>
      <c r="C16" s="38"/>
      <c r="D16" s="22">
        <v>0.58637143999999997</v>
      </c>
      <c r="E16" s="22">
        <v>0.88073573000000005</v>
      </c>
      <c r="F16" s="22">
        <v>0.74502075000000001</v>
      </c>
      <c r="G16" s="22">
        <v>0.54603484999999996</v>
      </c>
      <c r="H16" s="22">
        <v>9.6488800000000003E-3</v>
      </c>
      <c r="I16" s="22">
        <v>0.74899176000000001</v>
      </c>
      <c r="J16" s="22">
        <v>0.23090706999999999</v>
      </c>
      <c r="K16" s="22">
        <v>9.7915619999999995E-2</v>
      </c>
      <c r="M16" s="38"/>
      <c r="N16" s="38"/>
      <c r="O16" s="38"/>
      <c r="P16" s="20">
        <v>7.2998720500000003</v>
      </c>
      <c r="Q16" s="6"/>
    </row>
    <row r="17" spans="2:17">
      <c r="B17" s="38"/>
      <c r="C17" s="38"/>
      <c r="D17" s="22">
        <v>0.76113732999999995</v>
      </c>
      <c r="E17" s="22">
        <v>0.85467238999999995</v>
      </c>
      <c r="F17" s="22">
        <v>0.38212433000000001</v>
      </c>
      <c r="G17" s="22">
        <v>0.33735198</v>
      </c>
      <c r="H17" s="22">
        <v>0.68970832000000004</v>
      </c>
      <c r="I17" s="22">
        <v>0.30985305000000002</v>
      </c>
      <c r="J17" s="22">
        <v>0.63137968</v>
      </c>
      <c r="K17" s="22">
        <v>4.1956069999999998E-2</v>
      </c>
      <c r="M17" s="38"/>
      <c r="N17" s="38"/>
      <c r="O17" s="38"/>
      <c r="P17" s="20">
        <v>7.9578747400000003</v>
      </c>
      <c r="Q17" s="6"/>
    </row>
    <row r="18" spans="2:17">
      <c r="B18" s="38"/>
      <c r="C18" s="38"/>
      <c r="D18" s="22">
        <v>0.98493319999999995</v>
      </c>
      <c r="E18" s="22">
        <v>0.69950626000000005</v>
      </c>
      <c r="F18" s="22">
        <v>0.99888549999999998</v>
      </c>
      <c r="G18" s="22">
        <v>0.18014846000000001</v>
      </c>
      <c r="H18" s="22">
        <v>0.58014315000000005</v>
      </c>
      <c r="I18" s="22">
        <v>0.23108719</v>
      </c>
      <c r="J18" s="22">
        <v>0.49082693999999999</v>
      </c>
      <c r="K18" s="22">
        <v>0.31368272000000003</v>
      </c>
      <c r="M18" s="38"/>
      <c r="N18" s="38"/>
      <c r="O18" s="38"/>
      <c r="P18" s="20">
        <v>5.5921933900000003</v>
      </c>
      <c r="Q18" s="6"/>
    </row>
    <row r="19" spans="2:17">
      <c r="B19" s="38"/>
      <c r="C19" s="38"/>
      <c r="D19" s="22">
        <v>0.11207130999999999</v>
      </c>
      <c r="E19" s="22">
        <v>0.43773566000000003</v>
      </c>
      <c r="F19" s="22">
        <v>0.59659878</v>
      </c>
      <c r="G19" s="22">
        <v>0.59277563</v>
      </c>
      <c r="H19" s="22">
        <v>0.22698177</v>
      </c>
      <c r="I19" s="22">
        <v>0.41010451999999997</v>
      </c>
      <c r="J19" s="22">
        <v>0.92123758</v>
      </c>
      <c r="K19" s="22">
        <v>0.67475275999999995</v>
      </c>
      <c r="M19" s="38"/>
      <c r="N19" s="38"/>
      <c r="O19" s="38"/>
      <c r="P19" s="20">
        <v>7.8545409900000003</v>
      </c>
      <c r="Q19" s="6"/>
    </row>
    <row r="20" spans="2:17">
      <c r="B20" s="38"/>
      <c r="C20" s="38"/>
      <c r="D20" s="22">
        <v>0.79188751000000002</v>
      </c>
      <c r="E20" s="22">
        <v>0.57619134000000005</v>
      </c>
      <c r="F20" s="22">
        <v>0.69452835999999996</v>
      </c>
      <c r="G20" s="22">
        <v>0.28342378000000001</v>
      </c>
      <c r="H20" s="22">
        <v>0.13675546</v>
      </c>
      <c r="I20" s="22">
        <v>0.27916185999999998</v>
      </c>
      <c r="J20" s="22">
        <v>0.84276726000000002</v>
      </c>
      <c r="K20" s="22">
        <v>0.62532792000000004</v>
      </c>
      <c r="M20" s="38"/>
      <c r="N20" s="38"/>
      <c r="O20" s="38"/>
      <c r="P20" s="20">
        <v>6.7919857800000001</v>
      </c>
      <c r="Q20" s="6"/>
    </row>
    <row r="21" spans="2:17">
      <c r="B21" s="38"/>
      <c r="C21" s="38"/>
      <c r="D21" s="22">
        <v>0.14355029999999999</v>
      </c>
      <c r="E21" s="22">
        <v>0.93741452000000003</v>
      </c>
      <c r="F21" s="22">
        <v>0.23232481999999999</v>
      </c>
      <c r="G21" s="22">
        <v>9.0434899999999995E-3</v>
      </c>
      <c r="H21" s="22">
        <v>0.41457893000000001</v>
      </c>
      <c r="I21" s="22">
        <v>0.40932517000000002</v>
      </c>
      <c r="J21" s="22">
        <v>0.55377852000000005</v>
      </c>
      <c r="K21" s="22">
        <v>0.20584079999999999</v>
      </c>
      <c r="M21" s="38"/>
      <c r="N21" s="38"/>
      <c r="O21" s="38"/>
      <c r="P21" s="20">
        <v>8.97655402</v>
      </c>
      <c r="Q21" s="6"/>
    </row>
    <row r="22" spans="2:17">
      <c r="B22" s="38"/>
      <c r="C22" s="38"/>
      <c r="D22" s="22">
        <v>0.76991655000000003</v>
      </c>
      <c r="E22" s="22">
        <v>0.45875908999999998</v>
      </c>
      <c r="F22" s="22">
        <v>0.55900044000000004</v>
      </c>
      <c r="G22" s="22">
        <v>0.69460443999999999</v>
      </c>
      <c r="H22" s="22">
        <v>0.50319902000000005</v>
      </c>
      <c r="I22" s="22">
        <v>0.72834637999999996</v>
      </c>
      <c r="J22" s="22">
        <v>0.78425352999999998</v>
      </c>
      <c r="K22" s="22">
        <v>0.66313109000000003</v>
      </c>
      <c r="M22" s="38"/>
      <c r="N22" s="38"/>
      <c r="O22" s="38"/>
      <c r="P22" s="20">
        <v>7.3790829000000002</v>
      </c>
      <c r="Q22" s="6"/>
    </row>
    <row r="23" spans="2:17">
      <c r="B23" s="38"/>
      <c r="C23" s="38"/>
      <c r="D23" s="22">
        <v>5.6447410000000003E-2</v>
      </c>
      <c r="E23" s="22">
        <v>6.5955550000000002E-2</v>
      </c>
      <c r="F23" s="22">
        <v>2.292868E-2</v>
      </c>
      <c r="G23" s="22">
        <v>3.8786470000000003E-2</v>
      </c>
      <c r="H23" s="22">
        <v>0.40393543999999998</v>
      </c>
      <c r="I23" s="22">
        <v>0.80105532999999995</v>
      </c>
      <c r="J23" s="22">
        <v>0.48830700999999999</v>
      </c>
      <c r="K23" s="22">
        <v>0.89308498000000003</v>
      </c>
      <c r="M23" s="38"/>
      <c r="N23" s="38"/>
      <c r="O23" s="38"/>
      <c r="P23" s="20">
        <v>9.5984820000000006</v>
      </c>
      <c r="Q23" s="6"/>
    </row>
    <row r="24" spans="2:17">
      <c r="B24" s="38"/>
      <c r="C24" s="38"/>
      <c r="D24" s="22">
        <v>0.86243745000000005</v>
      </c>
      <c r="E24" s="22">
        <v>0.48273381999999998</v>
      </c>
      <c r="F24" s="22">
        <v>0.28186939999999999</v>
      </c>
      <c r="G24" s="22">
        <v>0.54410223000000002</v>
      </c>
      <c r="H24" s="22">
        <v>0.88749025999999998</v>
      </c>
      <c r="I24" s="22">
        <v>0.38265469000000002</v>
      </c>
      <c r="J24" s="22">
        <v>0.60190199</v>
      </c>
      <c r="K24" s="22">
        <v>0.47646168999999999</v>
      </c>
      <c r="M24" s="38"/>
      <c r="N24" s="38"/>
      <c r="O24" s="38"/>
      <c r="P24" s="20">
        <v>8.1599831900000002</v>
      </c>
      <c r="Q24" s="6"/>
    </row>
    <row r="25" spans="2:17">
      <c r="B25" s="38"/>
      <c r="C25" s="38"/>
      <c r="D25" s="22">
        <v>0.35151189999999999</v>
      </c>
      <c r="E25" s="22">
        <v>0.59006493999999998</v>
      </c>
      <c r="F25" s="22">
        <v>0.90943629999999998</v>
      </c>
      <c r="G25" s="22">
        <v>0.67840834999999999</v>
      </c>
      <c r="H25" s="22">
        <v>0.21282566</v>
      </c>
      <c r="I25" s="22">
        <v>8.8460380000000005E-2</v>
      </c>
      <c r="J25" s="22">
        <v>0.41015299999999999</v>
      </c>
      <c r="K25" s="22">
        <v>0.19572429</v>
      </c>
      <c r="M25" s="38"/>
      <c r="N25" s="38"/>
      <c r="O25" s="38"/>
      <c r="P25" s="20">
        <v>7.1316239699999997</v>
      </c>
      <c r="Q25" s="6"/>
    </row>
    <row r="26" spans="2:17">
      <c r="B26" s="38"/>
      <c r="C26" s="38"/>
      <c r="D26" s="22">
        <v>0.73590363999999997</v>
      </c>
      <c r="E26" s="22">
        <v>3.4611889999999999E-2</v>
      </c>
      <c r="F26" s="22">
        <v>0.72803026999999998</v>
      </c>
      <c r="G26" s="22">
        <v>0.14742652000000001</v>
      </c>
      <c r="H26" s="22">
        <v>0.29574314000000002</v>
      </c>
      <c r="I26" s="22">
        <v>0.44511730999999999</v>
      </c>
      <c r="J26" s="22">
        <v>0.97517969000000004</v>
      </c>
      <c r="K26" s="22">
        <v>0.37433978000000001</v>
      </c>
      <c r="M26" s="38"/>
      <c r="N26" s="38"/>
      <c r="O26" s="38"/>
      <c r="P26" s="20">
        <v>6.7679625300000001</v>
      </c>
      <c r="Q26" s="6"/>
    </row>
    <row r="27" spans="2:17">
      <c r="B27" s="38"/>
      <c r="C27" s="38"/>
      <c r="D27" s="22">
        <v>0.68029397000000003</v>
      </c>
      <c r="E27" s="22">
        <v>0.25510464999999999</v>
      </c>
      <c r="F27" s="22">
        <v>0.86218799000000002</v>
      </c>
      <c r="G27" s="22">
        <v>0.13439582</v>
      </c>
      <c r="H27" s="22">
        <v>0.32632919999999999</v>
      </c>
      <c r="I27" s="22">
        <v>0.28790686999999998</v>
      </c>
      <c r="J27" s="22">
        <v>0.43501047999999998</v>
      </c>
      <c r="K27" s="22">
        <v>0.36420013000000001</v>
      </c>
      <c r="M27" s="38"/>
      <c r="N27" s="38"/>
      <c r="O27" s="38"/>
      <c r="P27" s="20">
        <v>7.4337440700000004</v>
      </c>
      <c r="Q27" s="6"/>
    </row>
    <row r="28" spans="2:17">
      <c r="B28" s="38"/>
      <c r="C28" s="38"/>
      <c r="D28" s="22">
        <v>4.4329250000000001E-2</v>
      </c>
      <c r="E28" s="22">
        <v>1.358149E-2</v>
      </c>
      <c r="F28" s="22">
        <v>0.25819824000000002</v>
      </c>
      <c r="G28" s="22">
        <v>0.57764415999999996</v>
      </c>
      <c r="H28" s="22">
        <v>5.127992E-2</v>
      </c>
      <c r="I28" s="22">
        <v>0.15856307</v>
      </c>
      <c r="J28" s="22">
        <v>0.59103011999999999</v>
      </c>
      <c r="K28" s="22">
        <v>7.7952930000000004E-2</v>
      </c>
      <c r="M28" s="38"/>
      <c r="N28" s="38"/>
      <c r="O28" s="38"/>
      <c r="P28" s="20">
        <v>9.0130751500000006</v>
      </c>
      <c r="Q28" s="6"/>
    </row>
    <row r="29" spans="2:17">
      <c r="B29" s="38"/>
      <c r="C29" s="38"/>
      <c r="D29" s="22">
        <v>0.77834548000000003</v>
      </c>
      <c r="E29" s="22">
        <v>0.75114565</v>
      </c>
      <c r="F29" s="22">
        <v>0.31414220999999998</v>
      </c>
      <c r="G29" s="22">
        <v>0.90298577000000002</v>
      </c>
      <c r="H29" s="22">
        <v>0.33538166000000003</v>
      </c>
      <c r="I29" s="22">
        <v>0.38632266999999998</v>
      </c>
      <c r="J29" s="22">
        <v>0.74897248999999999</v>
      </c>
      <c r="K29" s="22">
        <v>0.9887551</v>
      </c>
      <c r="M29" s="38"/>
      <c r="N29" s="38"/>
      <c r="O29" s="38"/>
      <c r="P29" s="20">
        <v>7.3108938200000004</v>
      </c>
      <c r="Q29" s="6"/>
    </row>
    <row r="30" spans="2:17">
      <c r="B30" s="38"/>
      <c r="C30" s="38"/>
      <c r="D30" s="22">
        <v>0.89888710999999999</v>
      </c>
      <c r="E30" s="22">
        <v>0.52364169999999999</v>
      </c>
      <c r="F30" s="22">
        <v>0.87678325000000001</v>
      </c>
      <c r="G30" s="22">
        <v>0.21869644999999999</v>
      </c>
      <c r="H30" s="22">
        <v>0.90026088999999998</v>
      </c>
      <c r="I30" s="22">
        <v>0.28276624</v>
      </c>
      <c r="J30" s="22">
        <v>0.91107791000000005</v>
      </c>
      <c r="K30" s="22">
        <v>0.47239821999999998</v>
      </c>
      <c r="M30" s="38"/>
      <c r="N30" s="38"/>
      <c r="O30" s="38"/>
      <c r="P30" s="20">
        <v>5.8410673099999997</v>
      </c>
      <c r="Q30" s="6"/>
    </row>
    <row r="31" spans="2:17">
      <c r="B31" s="38"/>
      <c r="C31" s="38"/>
      <c r="D31" s="22">
        <v>0.14512029000000001</v>
      </c>
      <c r="E31" s="22">
        <v>0.11932754</v>
      </c>
      <c r="F31" s="22">
        <v>0.42088821999999998</v>
      </c>
      <c r="G31" s="22">
        <v>0.38760861000000002</v>
      </c>
      <c r="H31" s="22">
        <v>0.15542283000000001</v>
      </c>
      <c r="I31" s="22">
        <v>0.87517162999999998</v>
      </c>
      <c r="J31" s="22">
        <v>0.51055967000000002</v>
      </c>
      <c r="K31" s="22">
        <v>0.72861058000000001</v>
      </c>
      <c r="M31" s="38"/>
      <c r="N31" s="38"/>
      <c r="O31" s="38"/>
      <c r="P31" s="20">
        <v>9.1416394899999993</v>
      </c>
      <c r="Q31" s="6"/>
    </row>
    <row r="32" spans="2:17">
      <c r="B32" s="38"/>
      <c r="C32" s="38"/>
      <c r="D32" s="22">
        <v>0.33895441999999998</v>
      </c>
      <c r="E32" s="22">
        <v>0.56693201999999998</v>
      </c>
      <c r="F32" s="22">
        <v>0.37675110000000001</v>
      </c>
      <c r="G32" s="22">
        <v>9.8915729999999993E-2</v>
      </c>
      <c r="H32" s="22">
        <v>0.65945169000000003</v>
      </c>
      <c r="I32" s="22">
        <v>0.24554809</v>
      </c>
      <c r="J32" s="22">
        <v>0.76248278000000003</v>
      </c>
      <c r="K32" s="22">
        <v>0.73215346999999997</v>
      </c>
      <c r="M32" s="38"/>
      <c r="N32" s="38"/>
      <c r="O32" s="38"/>
      <c r="P32" s="20">
        <v>8.8175584400000009</v>
      </c>
      <c r="Q32" s="6"/>
    </row>
    <row r="33" spans="2:17">
      <c r="B33" s="38"/>
      <c r="C33" s="38"/>
      <c r="D33" s="22">
        <v>0.17615001999999999</v>
      </c>
      <c r="E33" s="22">
        <v>0.29396143000000002</v>
      </c>
      <c r="F33" s="22">
        <v>0.97567996999999995</v>
      </c>
      <c r="G33" s="22">
        <v>0.79393630999999998</v>
      </c>
      <c r="H33" s="22">
        <v>0.92340076000000004</v>
      </c>
      <c r="I33" s="22">
        <v>3.0842290000000001E-2</v>
      </c>
      <c r="J33" s="22">
        <v>0.80325451999999997</v>
      </c>
      <c r="K33" s="22">
        <v>0.59589758000000004</v>
      </c>
      <c r="M33" s="38"/>
      <c r="N33" s="38"/>
      <c r="O33" s="38"/>
      <c r="P33" s="20">
        <v>6.4519431300000001</v>
      </c>
      <c r="Q33" s="6"/>
    </row>
    <row r="34" spans="2:17">
      <c r="B34" s="38"/>
      <c r="C34" s="38"/>
      <c r="D34" s="22">
        <v>2.8946630000000001E-2</v>
      </c>
      <c r="E34" s="22">
        <v>2.8279060000000002E-2</v>
      </c>
      <c r="F34" s="22">
        <v>0.48137154999999998</v>
      </c>
      <c r="G34" s="22">
        <v>0.61317460000000001</v>
      </c>
      <c r="H34" s="22">
        <v>0.67266044999999997</v>
      </c>
      <c r="I34" s="22">
        <v>2.211341E-2</v>
      </c>
      <c r="J34" s="22">
        <v>0.60148330000000005</v>
      </c>
      <c r="K34" s="22">
        <v>0.52488504999999996</v>
      </c>
      <c r="M34" s="38"/>
      <c r="N34" s="38"/>
      <c r="O34" s="38"/>
      <c r="P34" s="20">
        <v>8.8307450500000009</v>
      </c>
      <c r="Q34" s="6"/>
    </row>
    <row r="35" spans="2:17">
      <c r="B35" s="38"/>
      <c r="C35" s="38"/>
      <c r="D35" s="22">
        <v>0.19263986999999999</v>
      </c>
      <c r="E35" s="22">
        <v>0.63067728000000001</v>
      </c>
      <c r="F35" s="22">
        <v>0.41679583999999997</v>
      </c>
      <c r="G35" s="22">
        <v>0.49052929000000001</v>
      </c>
      <c r="H35" s="22">
        <v>0.79608601999999995</v>
      </c>
      <c r="I35" s="22">
        <v>0.65456705999999998</v>
      </c>
      <c r="J35" s="22">
        <v>0.27624119000000003</v>
      </c>
      <c r="K35" s="22">
        <v>0.29551759</v>
      </c>
      <c r="M35" s="38"/>
      <c r="N35" s="38"/>
      <c r="O35" s="38"/>
      <c r="P35" s="20">
        <v>9.3442742800000005</v>
      </c>
      <c r="Q35" s="6"/>
    </row>
    <row r="36" spans="2:17">
      <c r="B36" s="38"/>
      <c r="C36" s="38"/>
      <c r="D36" s="22">
        <v>0.94318502000000004</v>
      </c>
      <c r="E36" s="22">
        <v>0.21885062</v>
      </c>
      <c r="F36" s="22">
        <v>0.72118408000000001</v>
      </c>
      <c r="G36" s="22">
        <v>0.42459707000000002</v>
      </c>
      <c r="H36" s="22">
        <v>0.98690199999999995</v>
      </c>
      <c r="I36" s="22">
        <v>0.53518297999999997</v>
      </c>
      <c r="J36" s="22">
        <v>0.71474318000000003</v>
      </c>
      <c r="K36" s="22">
        <v>0.96009372000000004</v>
      </c>
      <c r="M36" s="38"/>
      <c r="N36" s="38"/>
      <c r="O36" s="38"/>
      <c r="P36" s="20">
        <v>6.88784639</v>
      </c>
      <c r="Q36" s="6"/>
    </row>
    <row r="37" spans="2:17">
      <c r="B37" s="38"/>
      <c r="C37" s="38"/>
      <c r="D37" s="22">
        <v>0.53272140000000001</v>
      </c>
      <c r="E37" s="22">
        <v>0.83369260000000001</v>
      </c>
      <c r="F37" s="22">
        <v>7.1399000000000004E-2</v>
      </c>
      <c r="G37" s="22">
        <v>0.11681148</v>
      </c>
      <c r="H37" s="22">
        <v>0.73069311000000003</v>
      </c>
      <c r="I37" s="22">
        <v>0.93737559000000004</v>
      </c>
      <c r="J37" s="22">
        <v>0.86650797999999996</v>
      </c>
      <c r="K37" s="22">
        <v>0.12790199999999999</v>
      </c>
      <c r="M37" s="38"/>
      <c r="N37" s="38"/>
      <c r="O37" s="38"/>
      <c r="P37" s="20">
        <v>8.0422125399999995</v>
      </c>
      <c r="Q37" s="6"/>
    </row>
    <row r="38" spans="2:17">
      <c r="B38" s="38"/>
      <c r="C38" s="38"/>
      <c r="D38" s="22">
        <v>0.44709584000000002</v>
      </c>
      <c r="E38" s="22">
        <v>0.84395253000000003</v>
      </c>
      <c r="F38" s="22">
        <v>0.72954611999999996</v>
      </c>
      <c r="G38" s="22">
        <v>0.63915138000000005</v>
      </c>
      <c r="H38" s="22">
        <v>0.40928713999999999</v>
      </c>
      <c r="I38" s="22">
        <v>0.13264569000000001</v>
      </c>
      <c r="J38" s="22">
        <v>3.5908879999999997E-2</v>
      </c>
      <c r="K38" s="22">
        <v>0.44683846999999999</v>
      </c>
      <c r="M38" s="38"/>
      <c r="N38" s="38"/>
      <c r="O38" s="38"/>
      <c r="P38" s="20">
        <v>7.6923680499999998</v>
      </c>
      <c r="Q38" s="6"/>
    </row>
    <row r="39" spans="2:17">
      <c r="B39" s="38"/>
      <c r="C39" s="38"/>
      <c r="D39" s="22">
        <v>0.38222497</v>
      </c>
      <c r="E39" s="22">
        <v>0.55713584000000005</v>
      </c>
      <c r="F39" s="22">
        <v>0.85310163000000006</v>
      </c>
      <c r="G39" s="22">
        <v>0.33379568999999998</v>
      </c>
      <c r="H39" s="22">
        <v>0.26572127000000001</v>
      </c>
      <c r="I39" s="22">
        <v>0.48087291999999998</v>
      </c>
      <c r="J39" s="22">
        <v>0.23764705999999999</v>
      </c>
      <c r="K39" s="22">
        <v>0.76863196</v>
      </c>
      <c r="M39" s="38"/>
      <c r="N39" s="38"/>
      <c r="O39" s="38"/>
      <c r="P39" s="20">
        <v>7.9237587700000001</v>
      </c>
      <c r="Q39" s="6"/>
    </row>
    <row r="40" spans="2:17">
      <c r="B40" s="38"/>
      <c r="C40" s="38"/>
      <c r="D40" s="22">
        <v>0.53281953000000004</v>
      </c>
      <c r="E40" s="22">
        <v>0.86230848000000004</v>
      </c>
      <c r="F40" s="22">
        <v>0.53826711999999999</v>
      </c>
      <c r="G40" s="22">
        <v>4.9442930000000003E-2</v>
      </c>
      <c r="H40" s="22">
        <v>0.71970118999999999</v>
      </c>
      <c r="I40" s="22">
        <v>0.90670589999999995</v>
      </c>
      <c r="J40" s="22">
        <v>0.10823094</v>
      </c>
      <c r="K40" s="22">
        <v>0.52534791000000003</v>
      </c>
      <c r="M40" s="38"/>
      <c r="N40" s="38"/>
      <c r="O40" s="38"/>
      <c r="P40" s="20">
        <v>8.4217592400000001</v>
      </c>
      <c r="Q40" s="6"/>
    </row>
    <row r="41" spans="2:17">
      <c r="B41" s="38"/>
      <c r="C41" s="38"/>
      <c r="D41" s="22">
        <v>0.39486518999999998</v>
      </c>
      <c r="E41" s="22">
        <v>0.33180166999999999</v>
      </c>
      <c r="F41" s="22">
        <v>0.74075429999999998</v>
      </c>
      <c r="G41" s="22">
        <v>0.69786172000000002</v>
      </c>
      <c r="H41" s="22">
        <v>0.73740444000000005</v>
      </c>
      <c r="I41" s="22">
        <v>0.78377680999999999</v>
      </c>
      <c r="J41" s="22">
        <v>0.25449546000000001</v>
      </c>
      <c r="K41" s="22">
        <v>0.87114550999999996</v>
      </c>
      <c r="M41" s="38"/>
      <c r="N41" s="38"/>
      <c r="O41" s="38"/>
      <c r="P41" s="20">
        <v>8.2780623999999996</v>
      </c>
      <c r="Q41" s="6"/>
    </row>
    <row r="42" spans="2:17">
      <c r="B42" s="38"/>
      <c r="C42" s="38"/>
      <c r="D42" s="22">
        <v>0.98594539000000003</v>
      </c>
      <c r="E42" s="22">
        <v>0.87305363000000002</v>
      </c>
      <c r="F42" s="22">
        <v>7.0392620000000003E-2</v>
      </c>
      <c r="G42" s="22">
        <v>5.3587290000000003E-2</v>
      </c>
      <c r="H42" s="22">
        <v>0.73415295999999997</v>
      </c>
      <c r="I42" s="22">
        <v>0.52025851999999995</v>
      </c>
      <c r="J42" s="22">
        <v>0.81104003999999996</v>
      </c>
      <c r="K42" s="22">
        <v>0.10336036</v>
      </c>
      <c r="M42" s="38"/>
      <c r="N42" s="38"/>
      <c r="O42" s="38"/>
      <c r="P42" s="20">
        <v>7.1134571600000003</v>
      </c>
      <c r="Q42" s="6"/>
    </row>
    <row r="43" spans="2:17">
      <c r="B43" s="38"/>
      <c r="C43" s="38"/>
      <c r="D43" s="22">
        <v>0.96457338999999997</v>
      </c>
      <c r="E43" s="22">
        <v>0.97397979000000001</v>
      </c>
      <c r="F43" s="22">
        <v>0.66375335000000002</v>
      </c>
      <c r="G43" s="22">
        <v>0.66221598999999998</v>
      </c>
      <c r="H43" s="22">
        <v>0.67312167000000001</v>
      </c>
      <c r="I43" s="22">
        <v>0.90523761999999997</v>
      </c>
      <c r="J43" s="22">
        <v>0.45887462000000001</v>
      </c>
      <c r="K43" s="22">
        <v>0.56091749999999996</v>
      </c>
      <c r="M43" s="38"/>
      <c r="N43" s="38"/>
      <c r="O43" s="38"/>
      <c r="P43" s="20">
        <v>6.4025884099999999</v>
      </c>
      <c r="Q43" s="6"/>
    </row>
    <row r="44" spans="2:17">
      <c r="B44" s="38"/>
      <c r="C44" s="38"/>
      <c r="D44" s="22">
        <v>0.47207071</v>
      </c>
      <c r="E44" s="22">
        <v>0.16820263999999999</v>
      </c>
      <c r="F44" s="22">
        <v>8.6427569999999995E-2</v>
      </c>
      <c r="G44" s="22">
        <v>0.45265550999999998</v>
      </c>
      <c r="H44" s="22">
        <v>0.48061922000000001</v>
      </c>
      <c r="I44" s="22">
        <v>0.62243948999999998</v>
      </c>
      <c r="J44" s="22">
        <v>0.92897445999999995</v>
      </c>
      <c r="K44" s="22">
        <v>0.11253626999999999</v>
      </c>
      <c r="M44" s="38"/>
      <c r="N44" s="38"/>
      <c r="O44" s="38"/>
      <c r="P44" s="20">
        <v>8.4729363200000005</v>
      </c>
      <c r="Q44" s="6"/>
    </row>
    <row r="45" spans="2:17">
      <c r="B45" s="38"/>
      <c r="C45" s="38"/>
      <c r="D45" s="22">
        <v>0.85600695000000004</v>
      </c>
      <c r="E45" s="22">
        <v>0.63889370000000001</v>
      </c>
      <c r="F45" s="22">
        <v>0.32619202000000003</v>
      </c>
      <c r="G45" s="22">
        <v>0.66850310999999996</v>
      </c>
      <c r="H45" s="22">
        <v>0.24029837000000001</v>
      </c>
      <c r="I45" s="22">
        <v>0.21029888999999999</v>
      </c>
      <c r="J45" s="22">
        <v>0.16754636000000001</v>
      </c>
      <c r="K45" s="22">
        <v>0.96358986000000002</v>
      </c>
      <c r="M45" s="38"/>
      <c r="N45" s="38"/>
      <c r="O45" s="38"/>
      <c r="P45" s="20">
        <v>7.97768459</v>
      </c>
      <c r="Q45" s="6"/>
    </row>
    <row r="46" spans="2:17">
      <c r="B46" s="38"/>
      <c r="C46" s="38"/>
      <c r="D46" s="22">
        <v>0.81003174</v>
      </c>
      <c r="E46" s="22">
        <v>0.63504603999999998</v>
      </c>
      <c r="F46" s="22">
        <v>0.26954758000000001</v>
      </c>
      <c r="G46" s="22">
        <v>0.86960534</v>
      </c>
      <c r="H46" s="22">
        <v>0.66192158999999995</v>
      </c>
      <c r="I46" s="22">
        <v>0.25225872999999999</v>
      </c>
      <c r="J46" s="22">
        <v>0.76567003</v>
      </c>
      <c r="K46" s="22">
        <v>0.89054867000000004</v>
      </c>
      <c r="M46" s="38"/>
      <c r="N46" s="38"/>
      <c r="O46" s="38"/>
      <c r="P46" s="20">
        <v>7.4608721899999999</v>
      </c>
      <c r="Q46" s="6"/>
    </row>
    <row r="47" spans="2:17">
      <c r="B47" s="38"/>
      <c r="C47" s="38"/>
      <c r="D47" s="22">
        <v>0.79625252000000002</v>
      </c>
      <c r="E47" s="22">
        <v>7.03653E-3</v>
      </c>
      <c r="F47" s="22">
        <v>0.35569738000000001</v>
      </c>
      <c r="G47" s="22">
        <v>0.48756604999999997</v>
      </c>
      <c r="H47" s="22">
        <v>0.74051962000000005</v>
      </c>
      <c r="I47" s="22">
        <v>0.70665009999999995</v>
      </c>
      <c r="J47" s="22">
        <v>0.99291448999999998</v>
      </c>
      <c r="K47" s="22">
        <v>0.38173436999999999</v>
      </c>
      <c r="M47" s="38"/>
      <c r="N47" s="38"/>
      <c r="O47" s="38"/>
      <c r="P47" s="20">
        <v>7.4365935299999997</v>
      </c>
      <c r="Q47" s="6"/>
    </row>
    <row r="48" spans="2:17">
      <c r="B48" s="38"/>
      <c r="C48" s="38"/>
      <c r="D48" s="22">
        <v>0.48124533000000003</v>
      </c>
      <c r="E48" s="22">
        <v>0.10246072000000001</v>
      </c>
      <c r="F48" s="22">
        <v>0.21948593999999999</v>
      </c>
      <c r="G48" s="22">
        <v>0.67732236999999995</v>
      </c>
      <c r="H48" s="22">
        <v>0.24750918999999999</v>
      </c>
      <c r="I48" s="22">
        <v>0.24434085999999999</v>
      </c>
      <c r="J48" s="22">
        <v>0.16382453</v>
      </c>
      <c r="K48" s="22">
        <v>0.71596163999999995</v>
      </c>
      <c r="M48" s="38"/>
      <c r="N48" s="38"/>
      <c r="O48" s="38"/>
      <c r="P48" s="20">
        <v>9.1830052500000008</v>
      </c>
      <c r="Q48" s="6"/>
    </row>
    <row r="49" spans="2:20">
      <c r="B49" s="23" t="s">
        <v>4</v>
      </c>
      <c r="C49" s="23">
        <v>1</v>
      </c>
      <c r="D49" s="27">
        <v>0.5</v>
      </c>
      <c r="E49" s="27">
        <v>0.5</v>
      </c>
      <c r="F49" s="27">
        <v>0.5</v>
      </c>
      <c r="G49" s="27">
        <v>0.5</v>
      </c>
      <c r="H49" s="27">
        <v>0.5</v>
      </c>
      <c r="I49" s="27">
        <v>0.5</v>
      </c>
      <c r="J49" s="27">
        <v>0.5</v>
      </c>
      <c r="K49" s="27">
        <v>0.5</v>
      </c>
      <c r="M49" s="24" t="s">
        <v>4</v>
      </c>
      <c r="N49" s="24">
        <v>1</v>
      </c>
      <c r="O49" s="25"/>
      <c r="P49" s="25">
        <v>8.7982999999999993</v>
      </c>
      <c r="Q49" s="25"/>
      <c r="R49" s="25"/>
      <c r="S49" s="25"/>
      <c r="T49" s="25"/>
    </row>
    <row r="50" spans="2:20" ht="55.8" customHeight="1">
      <c r="M50" s="19" t="s">
        <v>7</v>
      </c>
      <c r="N50" s="3">
        <v>0.99</v>
      </c>
      <c r="O50" s="3" t="s">
        <v>12</v>
      </c>
      <c r="P50" s="6"/>
      <c r="R50" s="21">
        <f>MAX(P9:P48,P49)</f>
        <v>9.5984820000000006</v>
      </c>
      <c r="S50" s="31" t="s">
        <v>33</v>
      </c>
      <c r="T50" s="29" t="b">
        <v>1</v>
      </c>
    </row>
    <row r="51" spans="2:20" ht="60.6" customHeight="1">
      <c r="M51" s="19" t="s">
        <v>15</v>
      </c>
      <c r="N51" s="3">
        <v>0.99</v>
      </c>
      <c r="O51" s="3" t="s">
        <v>12</v>
      </c>
      <c r="R51" s="21">
        <f>MAX(P9:P48,P49)</f>
        <v>9.5984820000000006</v>
      </c>
      <c r="S51" s="31" t="s">
        <v>34</v>
      </c>
    </row>
    <row r="52" spans="2:20">
      <c r="B52" s="23" t="s">
        <v>4</v>
      </c>
      <c r="C52" s="23">
        <v>2</v>
      </c>
      <c r="D52" s="27">
        <v>0.21805451000000001</v>
      </c>
      <c r="E52" s="27">
        <v>0.21830458</v>
      </c>
      <c r="F52" s="27">
        <v>0.21855463999999999</v>
      </c>
      <c r="G52" s="27">
        <v>0.21880469999999999</v>
      </c>
      <c r="H52" s="27">
        <v>0.21905475999999999</v>
      </c>
      <c r="I52" s="27">
        <v>0.21930483000000001</v>
      </c>
      <c r="J52" s="27">
        <v>0.21955489</v>
      </c>
      <c r="K52" s="27">
        <v>0.21980495</v>
      </c>
      <c r="M52" s="24" t="s">
        <v>4</v>
      </c>
      <c r="N52" s="24">
        <v>2</v>
      </c>
      <c r="O52" s="25"/>
      <c r="P52" s="25">
        <v>9.6764425194349997</v>
      </c>
      <c r="Q52" s="25"/>
      <c r="R52" s="25"/>
      <c r="S52" s="25"/>
      <c r="T52" s="25"/>
    </row>
    <row r="53" spans="2:20" ht="63.3" customHeight="1">
      <c r="M53" s="19" t="s">
        <v>7</v>
      </c>
      <c r="N53" s="3">
        <v>0.2</v>
      </c>
      <c r="O53" s="3" t="s">
        <v>12</v>
      </c>
      <c r="R53" s="21">
        <f>MAX(R50,P52)</f>
        <v>9.6764425194349997</v>
      </c>
      <c r="S53" s="31" t="s">
        <v>52</v>
      </c>
      <c r="T53" s="29" t="b">
        <v>1</v>
      </c>
    </row>
    <row r="54" spans="2:20" ht="63.9" customHeight="1">
      <c r="M54" s="19" t="s">
        <v>15</v>
      </c>
      <c r="N54" s="3">
        <v>0.2</v>
      </c>
      <c r="O54" s="3" t="s">
        <v>12</v>
      </c>
      <c r="R54" s="21">
        <f>MAX(R50,P52)</f>
        <v>9.6764425194349997</v>
      </c>
      <c r="S54" s="31" t="s">
        <v>53</v>
      </c>
      <c r="T54" s="5"/>
    </row>
    <row r="55" spans="2:20">
      <c r="B55" s="23" t="s">
        <v>4</v>
      </c>
      <c r="C55" s="23">
        <v>3</v>
      </c>
      <c r="D55" s="27">
        <v>0.28807199999999999</v>
      </c>
      <c r="E55" s="27">
        <v>0.28832200000000002</v>
      </c>
      <c r="F55" s="27">
        <v>0.288572</v>
      </c>
      <c r="G55" s="27">
        <v>0.28882200000000002</v>
      </c>
      <c r="H55" s="27">
        <v>0.289072</v>
      </c>
      <c r="I55" s="27">
        <v>0.28932200000000002</v>
      </c>
      <c r="J55" s="27">
        <v>0.289572</v>
      </c>
      <c r="K55" s="27">
        <v>0.28982200000000002</v>
      </c>
      <c r="M55" s="24" t="s">
        <v>4</v>
      </c>
      <c r="N55" s="24">
        <v>3</v>
      </c>
      <c r="O55" s="25"/>
      <c r="P55" s="25">
        <v>9.6148418288995998</v>
      </c>
      <c r="Q55" s="25"/>
      <c r="R55" s="25"/>
      <c r="S55" s="25"/>
      <c r="T55" s="25"/>
    </row>
    <row r="56" spans="2:20" ht="57.6">
      <c r="M56" s="19" t="s">
        <v>7</v>
      </c>
      <c r="N56" s="3">
        <v>0.8</v>
      </c>
      <c r="O56" s="3" t="s">
        <v>12</v>
      </c>
      <c r="R56" s="21">
        <f>MAX(R53,P55)</f>
        <v>9.6764425194349997</v>
      </c>
      <c r="S56" s="31" t="s">
        <v>65</v>
      </c>
      <c r="T56" s="2"/>
    </row>
    <row r="57" spans="2:20" ht="57.6">
      <c r="M57" s="19" t="s">
        <v>61</v>
      </c>
      <c r="N57" s="3">
        <v>0.8</v>
      </c>
      <c r="O57" s="3" t="s">
        <v>12</v>
      </c>
      <c r="R57" s="21">
        <f>MAX(R53,P55)</f>
        <v>9.6764425194349997</v>
      </c>
      <c r="S57" s="31" t="s">
        <v>66</v>
      </c>
      <c r="T57" s="29" t="b">
        <v>1</v>
      </c>
    </row>
    <row r="58" spans="2:20">
      <c r="B58" s="23" t="s">
        <v>4</v>
      </c>
      <c r="C58" s="23">
        <v>4</v>
      </c>
      <c r="D58" s="27">
        <v>0.20405100000000001</v>
      </c>
      <c r="E58" s="27">
        <v>0.20430100000000001</v>
      </c>
      <c r="F58" s="27">
        <v>0.20455100000000001</v>
      </c>
      <c r="G58" s="27">
        <v>0.20480100000000001</v>
      </c>
      <c r="H58" s="27">
        <v>0.20505100000000001</v>
      </c>
      <c r="I58" s="27">
        <v>0.20530100000000001</v>
      </c>
      <c r="J58" s="27">
        <v>0.20555100000000001</v>
      </c>
      <c r="K58" s="27">
        <v>0.20580100000000001</v>
      </c>
      <c r="M58" s="24" t="s">
        <v>4</v>
      </c>
      <c r="N58" s="24">
        <v>4</v>
      </c>
      <c r="O58" s="25"/>
      <c r="P58" s="25">
        <v>9.6762909065294007</v>
      </c>
      <c r="Q58" s="25"/>
      <c r="R58" s="25"/>
      <c r="S58" s="25"/>
      <c r="T58" s="25"/>
    </row>
    <row r="59" spans="2:20" ht="57.6">
      <c r="M59" s="19" t="s">
        <v>79</v>
      </c>
      <c r="N59" s="3">
        <v>0.8</v>
      </c>
      <c r="O59" s="3" t="s">
        <v>12</v>
      </c>
      <c r="R59" s="21">
        <f>MAX(R57,P58)</f>
        <v>9.6764425194349997</v>
      </c>
      <c r="S59" s="19" t="s">
        <v>80</v>
      </c>
      <c r="T59" s="29" t="b">
        <v>1</v>
      </c>
    </row>
    <row r="60" spans="2:20">
      <c r="B60" s="23" t="s">
        <v>4</v>
      </c>
      <c r="C60" s="23">
        <v>5</v>
      </c>
      <c r="D60" s="27">
        <v>0.21205299999999999</v>
      </c>
      <c r="E60" s="27">
        <v>0.21230299999999999</v>
      </c>
      <c r="F60" s="27">
        <v>0.21255299999999999</v>
      </c>
      <c r="G60" s="27">
        <v>0.21280299999999999</v>
      </c>
      <c r="H60" s="27">
        <v>0.21305299999999999</v>
      </c>
      <c r="I60" s="27">
        <v>0.21330299999999999</v>
      </c>
      <c r="J60" s="27">
        <v>0.21355299999999999</v>
      </c>
      <c r="K60" s="27">
        <v>0.21380299999999999</v>
      </c>
      <c r="M60" s="24" t="s">
        <v>4</v>
      </c>
      <c r="N60" s="24">
        <v>5</v>
      </c>
      <c r="O60" s="24"/>
      <c r="P60" s="25">
        <v>9.6768866362245998</v>
      </c>
      <c r="Q60" s="24"/>
      <c r="R60" s="24"/>
      <c r="S60" s="24"/>
      <c r="T60" s="24"/>
    </row>
    <row r="61" spans="2:20" ht="57.6">
      <c r="M61" s="19" t="s">
        <v>84</v>
      </c>
      <c r="N61" s="3">
        <v>0.6</v>
      </c>
      <c r="O61" s="3" t="s">
        <v>12</v>
      </c>
      <c r="R61" s="21">
        <f>MAX(R59,P60)</f>
        <v>9.6768866362245998</v>
      </c>
      <c r="S61" s="19" t="s">
        <v>90</v>
      </c>
      <c r="T61" s="29" t="b">
        <v>1</v>
      </c>
    </row>
  </sheetData>
  <mergeCells count="7">
    <mergeCell ref="B9:C48"/>
    <mergeCell ref="M9:O48"/>
    <mergeCell ref="B3:C3"/>
    <mergeCell ref="B4:C4"/>
    <mergeCell ref="B7:E7"/>
    <mergeCell ref="M7:P7"/>
    <mergeCell ref="B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Function 1</vt:lpstr>
      <vt:lpstr>Function 2</vt:lpstr>
      <vt:lpstr>Function 3</vt:lpstr>
      <vt:lpstr>Function 4</vt:lpstr>
      <vt:lpstr>Function 5</vt:lpstr>
      <vt:lpstr>Function 6)</vt:lpstr>
      <vt:lpstr>Function 7</vt:lpstr>
      <vt:lpstr>Function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Bhattacharjee</dc:creator>
  <cp:lastModifiedBy>Goutam Bhattacharjee</cp:lastModifiedBy>
  <dcterms:created xsi:type="dcterms:W3CDTF">2015-06-05T18:17:20Z</dcterms:created>
  <dcterms:modified xsi:type="dcterms:W3CDTF">2026-07-30T22:09:15Z</dcterms:modified>
</cp:coreProperties>
</file>